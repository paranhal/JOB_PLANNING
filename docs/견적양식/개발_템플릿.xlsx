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Volumes/OfficeDocs/2026년 비젼아이티 업무/2026년 진행사업/도서관사업팀/사업팀업무일반/88.기타사업 견적 및 발주서/1. 보낸_견적서/양식/"/>
    </mc:Choice>
  </mc:AlternateContent>
  <xr:revisionPtr revIDLastSave="0" documentId="13_ncr:1_{C4EA1E14-81AB-E04A-9F0B-72141C27E08C}" xr6:coauthVersionLast="47" xr6:coauthVersionMax="47" xr10:uidLastSave="{00000000-0000-0000-0000-000000000000}"/>
  <bookViews>
    <workbookView xWindow="4540" yWindow="600" windowWidth="19220" windowHeight="19880" tabRatio="994" xr2:uid="{00000000-000D-0000-FFFF-FFFF00000000}"/>
  </bookViews>
  <sheets>
    <sheet name="견적서" sheetId="10" r:id="rId1"/>
  </sheets>
  <definedNames>
    <definedName name="_xlnm.Print_Area" localSheetId="0">견적서!$B$1:$J$36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0" l="1"/>
  <c r="J23" i="10" s="1"/>
  <c r="I22" i="10"/>
  <c r="J22" i="10" s="1"/>
  <c r="I21" i="10"/>
  <c r="I20" i="10" s="1"/>
  <c r="I18" i="10"/>
  <c r="J18" i="10" s="1"/>
  <c r="I19" i="10"/>
  <c r="J19" i="10" s="1"/>
  <c r="I17" i="10"/>
  <c r="J17" i="10" s="1"/>
  <c r="J21" i="10"/>
  <c r="J20" i="10" l="1"/>
  <c r="I16" i="10"/>
  <c r="J16" i="10"/>
  <c r="J24" i="10" s="1"/>
  <c r="I24" i="10" l="1"/>
  <c r="I25" i="10" s="1"/>
  <c r="D13" i="10" s="1"/>
</calcChain>
</file>

<file path=xl/sharedStrings.xml><?xml version="1.0" encoding="utf-8"?>
<sst xmlns="http://schemas.openxmlformats.org/spreadsheetml/2006/main" count="41" uniqueCount="40">
  <si>
    <t xml:space="preserve"> </t>
    <phoneticPr fontId="2" type="noConversion"/>
  </si>
  <si>
    <t>[기타사항]</t>
    <phoneticPr fontId="2" type="noConversion"/>
  </si>
  <si>
    <t>견   적   서</t>
    <phoneticPr fontId="6" type="noConversion"/>
  </si>
  <si>
    <t>[단위 : 원]</t>
    <phoneticPr fontId="2" type="noConversion"/>
  </si>
  <si>
    <t>2. 품목 및 금액</t>
    <phoneticPr fontId="6" type="noConversion"/>
  </si>
  <si>
    <t>1. 견적 조건</t>
    <phoneticPr fontId="6" type="noConversion"/>
  </si>
  <si>
    <t>단위</t>
    <phoneticPr fontId="2" type="noConversion"/>
  </si>
  <si>
    <t>견 적 금 액</t>
    <phoneticPr fontId="6" type="noConversion"/>
  </si>
  <si>
    <t xml:space="preserve"> + 시스템 구축 및 검수완료 후 1년간 무상 하자보수지원 포함</t>
    <phoneticPr fontId="2" type="noConversion"/>
  </si>
  <si>
    <t xml:space="preserve"> + 무상하자보수 기간 종료 후 년 단위 유상유지보수 계약 체결 진행</t>
    <phoneticPr fontId="2" type="noConversion"/>
  </si>
  <si>
    <t>▶ 무상유지보수부분</t>
    <phoneticPr fontId="2" type="noConversion"/>
  </si>
  <si>
    <t>▶ 유상유지보수부분</t>
    <phoneticPr fontId="2" type="noConversion"/>
  </si>
  <si>
    <t>유지보수부분</t>
    <phoneticPr fontId="2" type="noConversion"/>
  </si>
  <si>
    <t>견 적 건 명</t>
    <phoneticPr fontId="6" type="noConversion"/>
  </si>
  <si>
    <t>충남 공주시 한적2길 47(금흥동) 성화빌딩 5층  041-856-6551</t>
    <phoneticPr fontId="2" type="noConversion"/>
  </si>
  <si>
    <t>A4(210x297)</t>
  </si>
  <si>
    <t>㈜비젼아이티</t>
    <phoneticPr fontId="2" type="noConversion"/>
  </si>
  <si>
    <t>QEP-710-01(Rev.0)</t>
    <phoneticPr fontId="2" type="noConversion"/>
  </si>
  <si>
    <t xml:space="preserve">  귀사의 무궁한 발전을 기원하며</t>
    <phoneticPr fontId="2" type="noConversion"/>
  </si>
  <si>
    <t xml:space="preserve">  아래와 같이 견적합니다.</t>
    <phoneticPr fontId="6" type="noConversion"/>
  </si>
  <si>
    <t>결 제 조 건</t>
    <phoneticPr fontId="2" type="noConversion"/>
  </si>
  <si>
    <t>수량</t>
    <phoneticPr fontId="2" type="noConversion"/>
  </si>
  <si>
    <t>견적번호 : VI-견적-20260921-001</t>
    <phoneticPr fontId="2" type="noConversion"/>
  </si>
  <si>
    <t>세종시교육청평생교육원  귀중</t>
    <phoneticPr fontId="6" type="noConversion"/>
  </si>
  <si>
    <t>규격</t>
    <phoneticPr fontId="2" type="noConversion"/>
  </si>
  <si>
    <t>공급단가</t>
    <phoneticPr fontId="2" type="noConversion"/>
  </si>
  <si>
    <t>공급금액</t>
    <phoneticPr fontId="2" type="noConversion"/>
  </si>
  <si>
    <t>부가세</t>
    <phoneticPr fontId="2" type="noConversion"/>
  </si>
  <si>
    <t>경비 소계</t>
    <phoneticPr fontId="2" type="noConversion"/>
  </si>
  <si>
    <t>인건비 소계</t>
    <phoneticPr fontId="2" type="noConversion"/>
  </si>
  <si>
    <t>최종 제안금액 (VAT 포함)</t>
    <phoneticPr fontId="2" type="noConversion"/>
  </si>
  <si>
    <t>투입율 
할인율</t>
    <phoneticPr fontId="2" type="noConversion"/>
  </si>
  <si>
    <t>품명</t>
    <phoneticPr fontId="2" type="noConversion"/>
  </si>
  <si>
    <t>납 품 장 소</t>
    <phoneticPr fontId="2" type="noConversion"/>
  </si>
  <si>
    <t xml:space="preserve">▷ </t>
    <phoneticPr fontId="6" type="noConversion"/>
  </si>
  <si>
    <t xml:space="preserve"> 수     신  : 담당자님 귀하</t>
    <phoneticPr fontId="2" type="noConversion"/>
  </si>
  <si>
    <t xml:space="preserve">▷                </t>
    <phoneticPr fontId="6" type="noConversion"/>
  </si>
  <si>
    <t xml:space="preserve"> 참     조 :</t>
  </si>
  <si>
    <t xml:space="preserve"> 견 적 일 :  2026년 09월 21일</t>
    <phoneticPr fontId="2" type="noConversion"/>
  </si>
  <si>
    <t>합       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</si>
</sst>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&quot;₩&quot;* #,##0_-;\-&quot;₩&quot;* #,##0_-;_-&quot;₩&quot;* &quot;-&quot;_-;_-@_-"/>
    <numFmt numFmtId="177" formatCode="_-* #,##0_-;\-* #,##0_-;_-* &quot;-&quot;_-;_-@_-"/>
    <numFmt numFmtId="178" formatCode="_ * #,##0_ ;_ * \-#,##0_ ;_ * &quot;-&quot;_ ;_ @_ "/>
    <numFmt numFmtId="180" formatCode="#,##0_ "/>
    <numFmt numFmtId="181" formatCode="#,##0&quot;원(부가세 포함)&quot;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8"/>
      <name val="굴림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CDDC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8" fontId="3" fillId="0" borderId="0" applyNumberFormat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0" fontId="4" fillId="0" borderId="0"/>
    <xf numFmtId="177" fontId="1" fillId="0" borderId="0" applyFont="0" applyFill="0" applyBorder="0" applyAlignment="0" applyProtection="0">
      <alignment vertical="center"/>
    </xf>
  </cellStyleXfs>
  <cellXfs count="95">
    <xf numFmtId="0" fontId="0" fillId="0" borderId="0" xfId="0"/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quotePrefix="1" applyFont="1" applyFill="1" applyAlignment="1">
      <alignment vertic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180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180" fontId="7" fillId="3" borderId="4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180" fontId="10" fillId="4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177" fontId="7" fillId="6" borderId="4" xfId="8" applyFont="1" applyFill="1" applyBorder="1" applyAlignment="1">
      <alignment vertical="center"/>
    </xf>
    <xf numFmtId="177" fontId="7" fillId="3" borderId="4" xfId="8" applyFont="1" applyFill="1" applyBorder="1" applyAlignment="1">
      <alignment horizontal="center" vertical="center"/>
    </xf>
    <xf numFmtId="177" fontId="7" fillId="3" borderId="4" xfId="8" applyFont="1" applyFill="1" applyBorder="1" applyAlignment="1">
      <alignment horizontal="right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10" fillId="4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31" fontId="8" fillId="2" borderId="5" xfId="0" applyNumberFormat="1" applyFont="1" applyFill="1" applyBorder="1" applyAlignment="1">
      <alignment horizontal="center" vertical="center" wrapText="1"/>
    </xf>
    <xf numFmtId="31" fontId="8" fillId="2" borderId="17" xfId="0" applyNumberFormat="1" applyFont="1" applyFill="1" applyBorder="1" applyAlignment="1">
      <alignment horizontal="center" vertical="center" wrapText="1"/>
    </xf>
    <xf numFmtId="31" fontId="8" fillId="2" borderId="18" xfId="0" applyNumberFormat="1" applyFont="1" applyFill="1" applyBorder="1" applyAlignment="1">
      <alignment horizontal="center" vertical="center" wrapText="1"/>
    </xf>
    <xf numFmtId="181" fontId="8" fillId="2" borderId="5" xfId="0" applyNumberFormat="1" applyFont="1" applyFill="1" applyBorder="1" applyAlignment="1">
      <alignment horizontal="left" vertical="center" wrapText="1"/>
    </xf>
    <xf numFmtId="181" fontId="8" fillId="2" borderId="17" xfId="0" applyNumberFormat="1" applyFont="1" applyFill="1" applyBorder="1" applyAlignment="1">
      <alignment horizontal="left" vertical="center" wrapText="1"/>
    </xf>
    <xf numFmtId="181" fontId="8" fillId="2" borderId="18" xfId="0" applyNumberFormat="1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top"/>
    </xf>
    <xf numFmtId="0" fontId="16" fillId="7" borderId="21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177" fontId="17" fillId="7" borderId="5" xfId="8" applyFont="1" applyFill="1" applyBorder="1" applyAlignment="1">
      <alignment horizontal="right" vertical="center"/>
    </xf>
    <xf numFmtId="177" fontId="17" fillId="7" borderId="3" xfId="8" applyFont="1" applyFill="1" applyBorder="1" applyAlignment="1">
      <alignment horizontal="right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77" fontId="17" fillId="4" borderId="5" xfId="8" applyFont="1" applyFill="1" applyBorder="1" applyAlignment="1">
      <alignment horizontal="center" vertical="center"/>
    </xf>
    <xf numFmtId="177" fontId="17" fillId="4" borderId="23" xfId="8" applyFont="1" applyFill="1" applyBorder="1" applyAlignment="1">
      <alignment horizontal="center" vertical="center"/>
    </xf>
  </cellXfs>
  <cellStyles count="9">
    <cellStyle name="_Intel" xfId="1" xr:uid="{00000000-0005-0000-0000-000000000000}"/>
    <cellStyle name="쉼표 [0]" xfId="8" builtinId="6"/>
    <cellStyle name="쉼표 [0] 2" xfId="2" xr:uid="{00000000-0005-0000-0000-000002000000}"/>
    <cellStyle name="쉼표 [0] 3" xfId="3" xr:uid="{00000000-0005-0000-0000-000003000000}"/>
    <cellStyle name="콤마 [0]_QUOT_960306" xfId="4" xr:uid="{00000000-0005-0000-0000-000004000000}"/>
    <cellStyle name="통화 [0] 2" xfId="5" xr:uid="{00000000-0005-0000-0000-000005000000}"/>
    <cellStyle name="표준" xfId="0" builtinId="0"/>
    <cellStyle name="표준 5" xfId="6" xr:uid="{00000000-0005-0000-0000-000007000000}"/>
    <cellStyle name="Normal_Sheet2" xfId="7" xr:uid="{00000000-0005-0000-0000-000001000000}"/>
  </cellStyles>
  <dxfs count="0"/>
  <tableStyles count="0" defaultTableStyle="TableStyleMedium2" defaultPivotStyle="PivotStyleLight16"/>
  <colors>
    <mruColors>
      <color rgb="FF92CDD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9768</xdr:colOff>
      <xdr:row>4</xdr:row>
      <xdr:rowOff>0</xdr:rowOff>
    </xdr:from>
    <xdr:to>
      <xdr:col>9</xdr:col>
      <xdr:colOff>1074615</xdr:colOff>
      <xdr:row>9</xdr:row>
      <xdr:rowOff>2930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BFCDBD-8B1A-BE86-EE5D-E8A044A7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2076" y="1074615"/>
          <a:ext cx="3897924" cy="1155700"/>
        </a:xfrm>
        <a:prstGeom prst="rect">
          <a:avLst/>
        </a:prstGeom>
      </xdr:spPr>
    </xdr:pic>
    <xdr:clientData/>
  </xdr:twoCellAnchor>
  <xdr:twoCellAnchor editAs="oneCell">
    <xdr:from>
      <xdr:col>9</xdr:col>
      <xdr:colOff>371232</xdr:colOff>
      <xdr:row>2</xdr:row>
      <xdr:rowOff>13862</xdr:rowOff>
    </xdr:from>
    <xdr:to>
      <xdr:col>9</xdr:col>
      <xdr:colOff>1055077</xdr:colOff>
      <xdr:row>3</xdr:row>
      <xdr:rowOff>250048</xdr:rowOff>
    </xdr:to>
    <xdr:pic>
      <xdr:nvPicPr>
        <xdr:cNvPr id="4" name="_x222329264" descr="EMB000004a820ef">
          <a:extLst>
            <a:ext uri="{FF2B5EF4-FFF2-40B4-BE49-F238E27FC236}">
              <a16:creationId xmlns:a16="http://schemas.microsoft.com/office/drawing/2014/main" id="{1C4EADA9-49DF-CD43-8F74-187D411CD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463" y="746554"/>
          <a:ext cx="683845" cy="324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J41"/>
  <sheetViews>
    <sheetView tabSelected="1" zoomScale="130" zoomScaleNormal="130" workbookViewId="0">
      <selection activeCell="B33" sqref="B33:J35"/>
    </sheetView>
  </sheetViews>
  <sheetFormatPr baseColWidth="10" defaultColWidth="8.83203125" defaultRowHeight="19.5" customHeight="1"/>
  <cols>
    <col min="1" max="1" width="1.5" style="1" customWidth="1"/>
    <col min="2" max="2" width="1.83203125" style="1" customWidth="1"/>
    <col min="3" max="3" width="15.83203125" style="1" customWidth="1"/>
    <col min="4" max="4" width="22.83203125" style="1" customWidth="1"/>
    <col min="5" max="5" width="5.6640625" style="1" customWidth="1"/>
    <col min="6" max="6" width="7.5" style="1" customWidth="1"/>
    <col min="7" max="7" width="6.1640625" style="1" customWidth="1"/>
    <col min="8" max="8" width="11.33203125" style="1" customWidth="1"/>
    <col min="9" max="9" width="12.1640625" style="1" customWidth="1"/>
    <col min="10" max="10" width="14.33203125" style="1" customWidth="1"/>
    <col min="11" max="16384" width="8.83203125" style="1"/>
  </cols>
  <sheetData>
    <row r="1" spans="2:10" s="7" customFormat="1" ht="32" customHeight="1">
      <c r="B1" s="61" t="s">
        <v>2</v>
      </c>
      <c r="C1" s="62"/>
      <c r="D1" s="62"/>
      <c r="E1" s="62"/>
      <c r="F1" s="62"/>
      <c r="G1" s="62"/>
      <c r="H1" s="62"/>
      <c r="I1" s="62"/>
      <c r="J1" s="62"/>
    </row>
    <row r="2" spans="2:10" s="7" customFormat="1" ht="25.25" customHeight="1">
      <c r="B2" s="66" t="s">
        <v>14</v>
      </c>
      <c r="C2" s="66"/>
      <c r="D2" s="66"/>
      <c r="E2" s="66"/>
      <c r="F2" s="66"/>
      <c r="G2" s="66"/>
      <c r="H2" s="66"/>
      <c r="I2" s="66"/>
      <c r="J2" s="66"/>
    </row>
    <row r="3" spans="2:10" ht="7.5" customHeight="1">
      <c r="C3" s="65" t="s">
        <v>0</v>
      </c>
      <c r="D3" s="65"/>
      <c r="E3" s="65"/>
      <c r="F3" s="65"/>
      <c r="G3" s="65"/>
      <c r="H3" s="65"/>
      <c r="I3" s="65"/>
      <c r="J3" s="65"/>
    </row>
    <row r="4" spans="2:10" ht="20" customHeight="1">
      <c r="B4" s="63" t="s">
        <v>23</v>
      </c>
      <c r="C4" s="64"/>
      <c r="D4" s="17"/>
      <c r="E4" s="17"/>
      <c r="F4" s="74" t="s">
        <v>22</v>
      </c>
      <c r="G4" s="74"/>
      <c r="H4" s="74"/>
      <c r="I4" s="74"/>
      <c r="J4" s="74"/>
    </row>
    <row r="5" spans="2:10" ht="18" customHeight="1">
      <c r="B5" s="4" t="s">
        <v>34</v>
      </c>
      <c r="C5" s="70" t="s">
        <v>35</v>
      </c>
      <c r="D5" s="70"/>
      <c r="E5" s="70"/>
      <c r="F5" s="75"/>
      <c r="G5" s="75"/>
      <c r="H5" s="75"/>
      <c r="I5" s="75"/>
      <c r="J5" s="75"/>
    </row>
    <row r="6" spans="2:10" ht="19.5" customHeight="1">
      <c r="B6" s="12" t="s">
        <v>36</v>
      </c>
      <c r="C6" s="68" t="s">
        <v>37</v>
      </c>
      <c r="D6" s="68"/>
      <c r="E6" s="68"/>
      <c r="F6" s="76"/>
      <c r="G6" s="75"/>
      <c r="H6" s="75"/>
      <c r="I6" s="76"/>
      <c r="J6" s="76"/>
    </row>
    <row r="7" spans="2:10" ht="19.5" customHeight="1">
      <c r="B7" s="84" t="s">
        <v>34</v>
      </c>
      <c r="C7" s="67" t="s">
        <v>38</v>
      </c>
      <c r="D7" s="67"/>
      <c r="E7" s="67"/>
      <c r="F7" s="75"/>
      <c r="G7" s="77"/>
      <c r="H7" s="75"/>
      <c r="I7" s="75"/>
      <c r="J7" s="77"/>
    </row>
    <row r="8" spans="2:10" ht="15" customHeight="1">
      <c r="B8" s="68" t="s">
        <v>18</v>
      </c>
      <c r="C8" s="68"/>
      <c r="D8" s="68"/>
      <c r="E8" s="72"/>
      <c r="F8" s="75"/>
      <c r="G8" s="75"/>
      <c r="H8" s="75"/>
      <c r="I8" s="75"/>
      <c r="J8" s="77"/>
    </row>
    <row r="9" spans="2:10" s="2" customFormat="1" ht="19.5" customHeight="1">
      <c r="B9" s="70" t="s">
        <v>19</v>
      </c>
      <c r="C9" s="70"/>
      <c r="D9" s="70"/>
      <c r="E9" s="73"/>
      <c r="F9" s="76"/>
      <c r="G9" s="75"/>
      <c r="H9" s="75"/>
      <c r="I9" s="76"/>
      <c r="J9" s="76"/>
    </row>
    <row r="10" spans="2:10" ht="7.5" customHeight="1">
      <c r="B10" s="3"/>
      <c r="C10" s="10"/>
      <c r="D10" s="10"/>
      <c r="E10" s="10"/>
      <c r="F10" s="10"/>
      <c r="G10" s="11"/>
      <c r="H10" s="11"/>
      <c r="I10" s="11"/>
      <c r="J10" s="11"/>
    </row>
    <row r="11" spans="2:10" s="8" customFormat="1" ht="20" customHeight="1">
      <c r="B11" s="69" t="s">
        <v>5</v>
      </c>
      <c r="C11" s="69"/>
      <c r="J11" s="13" t="s">
        <v>3</v>
      </c>
    </row>
    <row r="12" spans="2:10" ht="23" customHeight="1">
      <c r="C12" s="9" t="s">
        <v>13</v>
      </c>
      <c r="D12" s="78"/>
      <c r="E12" s="79"/>
      <c r="F12" s="79"/>
      <c r="G12" s="79"/>
      <c r="H12" s="80"/>
      <c r="I12" s="9" t="s">
        <v>33</v>
      </c>
      <c r="J12" s="23"/>
    </row>
    <row r="13" spans="2:10" ht="20" customHeight="1">
      <c r="C13" s="9" t="s">
        <v>7</v>
      </c>
      <c r="D13" s="81">
        <f>I25</f>
        <v>0</v>
      </c>
      <c r="E13" s="82"/>
      <c r="F13" s="82"/>
      <c r="G13" s="82"/>
      <c r="H13" s="83"/>
      <c r="I13" s="9" t="s">
        <v>20</v>
      </c>
      <c r="J13" s="23"/>
    </row>
    <row r="14" spans="2:10" s="7" customFormat="1" ht="20" customHeight="1">
      <c r="B14" s="8" t="s">
        <v>4</v>
      </c>
      <c r="C14" s="8"/>
      <c r="D14" s="4"/>
      <c r="E14" s="4"/>
      <c r="F14" s="4"/>
    </row>
    <row r="15" spans="2:10" s="5" customFormat="1" ht="30" customHeight="1">
      <c r="B15" s="21"/>
      <c r="C15" s="21" t="s">
        <v>32</v>
      </c>
      <c r="D15" s="21" t="s">
        <v>24</v>
      </c>
      <c r="E15" s="21" t="s">
        <v>6</v>
      </c>
      <c r="F15" s="21" t="s">
        <v>21</v>
      </c>
      <c r="G15" s="71" t="s">
        <v>31</v>
      </c>
      <c r="H15" s="21" t="s">
        <v>25</v>
      </c>
      <c r="I15" s="21" t="s">
        <v>26</v>
      </c>
      <c r="J15" s="22" t="s">
        <v>27</v>
      </c>
    </row>
    <row r="16" spans="2:10" ht="21" customHeight="1">
      <c r="B16" s="32" t="s">
        <v>29</v>
      </c>
      <c r="C16" s="33"/>
      <c r="D16" s="33"/>
      <c r="E16" s="33"/>
      <c r="F16" s="33"/>
      <c r="G16" s="33"/>
      <c r="H16" s="34"/>
      <c r="I16" s="29">
        <f>SUM(I17:I19)</f>
        <v>0</v>
      </c>
      <c r="J16" s="29">
        <f>SUM(J17:J19)</f>
        <v>0</v>
      </c>
    </row>
    <row r="17" spans="2:10" ht="15" customHeight="1">
      <c r="B17" s="24">
        <v>1</v>
      </c>
      <c r="C17" s="25"/>
      <c r="D17" s="27"/>
      <c r="E17" s="28"/>
      <c r="F17" s="27"/>
      <c r="G17" s="27"/>
      <c r="H17" s="18"/>
      <c r="I17" s="30">
        <f>F17*G17*H17</f>
        <v>0</v>
      </c>
      <c r="J17" s="31">
        <f>I17*0.1</f>
        <v>0</v>
      </c>
    </row>
    <row r="18" spans="2:10" ht="15">
      <c r="B18" s="24">
        <v>2</v>
      </c>
      <c r="C18" s="26"/>
      <c r="E18" s="28"/>
      <c r="F18" s="27"/>
      <c r="G18" s="27"/>
      <c r="H18" s="18"/>
      <c r="I18" s="30">
        <f>F18*G18*H18</f>
        <v>0</v>
      </c>
      <c r="J18" s="31">
        <f t="shared" ref="J18:J19" si="0">I18*0.1</f>
        <v>0</v>
      </c>
    </row>
    <row r="19" spans="2:10" ht="15">
      <c r="B19" s="24">
        <v>3</v>
      </c>
      <c r="C19" s="26"/>
      <c r="D19" s="27"/>
      <c r="E19" s="28"/>
      <c r="F19" s="27"/>
      <c r="G19" s="27"/>
      <c r="H19" s="18"/>
      <c r="I19" s="30">
        <f t="shared" ref="I18:I19" si="1">F19*G19*H19</f>
        <v>0</v>
      </c>
      <c r="J19" s="31">
        <f t="shared" si="0"/>
        <v>0</v>
      </c>
    </row>
    <row r="20" spans="2:10" ht="21" customHeight="1">
      <c r="B20" s="32" t="s">
        <v>28</v>
      </c>
      <c r="C20" s="33"/>
      <c r="D20" s="33"/>
      <c r="E20" s="33"/>
      <c r="F20" s="33"/>
      <c r="G20" s="33"/>
      <c r="H20" s="34"/>
      <c r="I20" s="29">
        <f>SUM(I21:I23)</f>
        <v>0</v>
      </c>
      <c r="J20" s="29">
        <f>SUM(J21:J23)</f>
        <v>0</v>
      </c>
    </row>
    <row r="21" spans="2:10" ht="15" customHeight="1">
      <c r="B21" s="24">
        <v>1</v>
      </c>
      <c r="C21" s="25"/>
      <c r="D21" s="27"/>
      <c r="E21" s="27"/>
      <c r="F21" s="27"/>
      <c r="G21" s="27"/>
      <c r="H21" s="18"/>
      <c r="I21" s="30">
        <f>F21*G21*H21</f>
        <v>0</v>
      </c>
      <c r="J21" s="31">
        <f>I21*0.1</f>
        <v>0</v>
      </c>
    </row>
    <row r="22" spans="2:10" ht="15">
      <c r="B22" s="24">
        <v>2</v>
      </c>
      <c r="C22" s="26"/>
      <c r="D22" s="27"/>
      <c r="E22" s="27"/>
      <c r="F22" s="27"/>
      <c r="G22" s="27"/>
      <c r="H22" s="18"/>
      <c r="I22" s="30">
        <f t="shared" ref="I22:I23" si="2">F22*G22*H22</f>
        <v>0</v>
      </c>
      <c r="J22" s="31">
        <f t="shared" ref="J22:J23" si="3">I22*0.1</f>
        <v>0</v>
      </c>
    </row>
    <row r="23" spans="2:10" ht="15">
      <c r="B23" s="24">
        <v>3</v>
      </c>
      <c r="C23" s="26"/>
      <c r="D23" s="27"/>
      <c r="E23" s="27"/>
      <c r="F23" s="27"/>
      <c r="G23" s="27"/>
      <c r="H23" s="18"/>
      <c r="I23" s="30">
        <f t="shared" si="2"/>
        <v>0</v>
      </c>
      <c r="J23" s="31">
        <f t="shared" si="3"/>
        <v>0</v>
      </c>
    </row>
    <row r="24" spans="2:10" ht="20" customHeight="1">
      <c r="B24" s="85" t="s">
        <v>39</v>
      </c>
      <c r="C24" s="86"/>
      <c r="D24" s="86"/>
      <c r="E24" s="86"/>
      <c r="F24" s="86"/>
      <c r="G24" s="86"/>
      <c r="H24" s="87"/>
      <c r="I24" s="88">
        <f>SUM(I16,I20)</f>
        <v>0</v>
      </c>
      <c r="J24" s="89">
        <f>SUM(J16,J20)</f>
        <v>0</v>
      </c>
    </row>
    <row r="25" spans="2:10" ht="25.25" customHeight="1">
      <c r="B25" s="90" t="s">
        <v>30</v>
      </c>
      <c r="C25" s="91"/>
      <c r="D25" s="91"/>
      <c r="E25" s="91"/>
      <c r="F25" s="91"/>
      <c r="G25" s="91"/>
      <c r="H25" s="92"/>
      <c r="I25" s="93">
        <f>I24+J24</f>
        <v>0</v>
      </c>
      <c r="J25" s="94"/>
    </row>
    <row r="26" spans="2:10" ht="20" hidden="1" customHeight="1" thickTop="1">
      <c r="B26" s="59" t="s">
        <v>12</v>
      </c>
      <c r="C26" s="47" t="s">
        <v>10</v>
      </c>
      <c r="D26" s="48"/>
      <c r="E26" s="48"/>
      <c r="F26" s="48"/>
      <c r="G26" s="48"/>
      <c r="H26" s="48"/>
      <c r="I26" s="48"/>
      <c r="J26" s="49"/>
    </row>
    <row r="27" spans="2:10" ht="20" hidden="1" customHeight="1">
      <c r="B27" s="59"/>
      <c r="C27" s="50" t="s">
        <v>8</v>
      </c>
      <c r="D27" s="51"/>
      <c r="E27" s="51"/>
      <c r="F27" s="51"/>
      <c r="G27" s="51"/>
      <c r="H27" s="51"/>
      <c r="I27" s="51"/>
      <c r="J27" s="52"/>
    </row>
    <row r="28" spans="2:10" ht="20" hidden="1" customHeight="1">
      <c r="B28" s="59"/>
      <c r="C28" s="53" t="s">
        <v>11</v>
      </c>
      <c r="D28" s="54"/>
      <c r="E28" s="54"/>
      <c r="F28" s="54"/>
      <c r="G28" s="54"/>
      <c r="H28" s="54"/>
      <c r="I28" s="54"/>
      <c r="J28" s="55"/>
    </row>
    <row r="29" spans="2:10" ht="20" hidden="1" customHeight="1" thickBot="1">
      <c r="B29" s="60"/>
      <c r="C29" s="44" t="s">
        <v>9</v>
      </c>
      <c r="D29" s="45"/>
      <c r="E29" s="45"/>
      <c r="F29" s="45"/>
      <c r="G29" s="45"/>
      <c r="H29" s="45"/>
      <c r="I29" s="45"/>
      <c r="J29" s="46"/>
    </row>
    <row r="30" spans="2:10" ht="15" customHeight="1">
      <c r="B30" s="19"/>
      <c r="C30" s="20"/>
      <c r="D30" s="20"/>
      <c r="E30" s="20"/>
      <c r="F30" s="20"/>
      <c r="G30" s="20"/>
      <c r="H30" s="20"/>
      <c r="I30" s="20"/>
      <c r="J30" s="20"/>
    </row>
    <row r="31" spans="2:10" ht="7.5" customHeight="1" thickBot="1">
      <c r="G31" s="5"/>
      <c r="H31" s="5"/>
      <c r="I31" s="5"/>
      <c r="J31" s="6"/>
    </row>
    <row r="32" spans="2:10" ht="20" customHeight="1">
      <c r="B32" s="56" t="s">
        <v>1</v>
      </c>
      <c r="C32" s="57"/>
      <c r="D32" s="57"/>
      <c r="E32" s="57"/>
      <c r="F32" s="57"/>
      <c r="G32" s="57"/>
      <c r="H32" s="57"/>
      <c r="I32" s="57"/>
      <c r="J32" s="58"/>
    </row>
    <row r="33" spans="2:10" ht="15" customHeight="1">
      <c r="B33" s="35"/>
      <c r="C33" s="36"/>
      <c r="D33" s="36"/>
      <c r="E33" s="36"/>
      <c r="F33" s="36"/>
      <c r="G33" s="36"/>
      <c r="H33" s="36"/>
      <c r="I33" s="36"/>
      <c r="J33" s="37"/>
    </row>
    <row r="34" spans="2:10" ht="15" customHeight="1">
      <c r="B34" s="38"/>
      <c r="C34" s="39"/>
      <c r="D34" s="39"/>
      <c r="E34" s="39"/>
      <c r="F34" s="39"/>
      <c r="G34" s="39"/>
      <c r="H34" s="39"/>
      <c r="I34" s="39"/>
      <c r="J34" s="40"/>
    </row>
    <row r="35" spans="2:10" ht="15" customHeight="1" thickBot="1">
      <c r="B35" s="41"/>
      <c r="C35" s="42"/>
      <c r="D35" s="42"/>
      <c r="E35" s="42"/>
      <c r="F35" s="42"/>
      <c r="G35" s="42"/>
      <c r="H35" s="42"/>
      <c r="I35" s="42"/>
      <c r="J35" s="43"/>
    </row>
    <row r="36" spans="2:10" ht="15" customHeight="1">
      <c r="B36" s="14" t="s">
        <v>17</v>
      </c>
      <c r="F36" s="16" t="s">
        <v>16</v>
      </c>
      <c r="G36" s="5"/>
      <c r="H36" s="5"/>
      <c r="I36" s="5"/>
      <c r="J36" s="15" t="s">
        <v>15</v>
      </c>
    </row>
    <row r="37" spans="2:10" ht="15" customHeight="1">
      <c r="G37" s="5"/>
      <c r="H37" s="5"/>
      <c r="I37" s="5"/>
      <c r="J37" s="6"/>
    </row>
    <row r="38" spans="2:10" ht="15" customHeight="1">
      <c r="B38" s="5"/>
    </row>
    <row r="39" spans="2:10" ht="15" customHeight="1"/>
    <row r="40" spans="2:10" ht="15" customHeight="1"/>
    <row r="41" spans="2:10" ht="15.75" customHeight="1"/>
  </sheetData>
  <sheetProtection formatCells="0" formatColumns="0" formatRows="0" insertColumns="0" insertRows="0" insertHyperlinks="0" deleteColumns="0" deleteRows="0" sort="0" autoFilter="0" pivotTables="0"/>
  <mergeCells count="33">
    <mergeCell ref="C6:E6"/>
    <mergeCell ref="C5:E5"/>
    <mergeCell ref="C7:E7"/>
    <mergeCell ref="F7:F8"/>
    <mergeCell ref="D12:H12"/>
    <mergeCell ref="D13:H13"/>
    <mergeCell ref="B8:E8"/>
    <mergeCell ref="G7:H8"/>
    <mergeCell ref="B11:C11"/>
    <mergeCell ref="G9:H9"/>
    <mergeCell ref="B9:E9"/>
    <mergeCell ref="F5:H5"/>
    <mergeCell ref="I5:J5"/>
    <mergeCell ref="G6:H6"/>
    <mergeCell ref="J7:J8"/>
    <mergeCell ref="I7:I8"/>
    <mergeCell ref="B1:J1"/>
    <mergeCell ref="B4:C4"/>
    <mergeCell ref="C3:J3"/>
    <mergeCell ref="B2:J2"/>
    <mergeCell ref="F4:J4"/>
    <mergeCell ref="B24:H24"/>
    <mergeCell ref="B16:H16"/>
    <mergeCell ref="B20:H20"/>
    <mergeCell ref="B33:J35"/>
    <mergeCell ref="B25:H25"/>
    <mergeCell ref="C29:J29"/>
    <mergeCell ref="C26:J26"/>
    <mergeCell ref="C27:J27"/>
    <mergeCell ref="C28:J28"/>
    <mergeCell ref="B32:J32"/>
    <mergeCell ref="B26:B29"/>
    <mergeCell ref="I25:J25"/>
  </mergeCells>
  <phoneticPr fontId="2" type="noConversion"/>
  <printOptions horizontalCentered="1"/>
  <pageMargins left="0.25" right="0.25" top="0.75" bottom="0.75" header="0.3" footer="0.3"/>
  <pageSetup paperSize="9" scale="94" orientation="portrait" horizontalDpi="300" verticalDpi="300" r:id="rId1"/>
  <headerFooter alignWithMargins="0"/>
  <ignoredErrors>
    <ignoredError sqref="I20:J2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(주)이엔지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구인철</dc:creator>
  <cp:lastModifiedBy>해진 이</cp:lastModifiedBy>
  <cp:lastPrinted>2026-09-21T02:18:46Z</cp:lastPrinted>
  <dcterms:created xsi:type="dcterms:W3CDTF">2001-08-09T04:35:27Z</dcterms:created>
  <dcterms:modified xsi:type="dcterms:W3CDTF">2026-09-21T10:26:02Z</dcterms:modified>
</cp:coreProperties>
</file>