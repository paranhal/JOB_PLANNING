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paranhal/Downloads/"/>
    </mc:Choice>
  </mc:AlternateContent>
  <xr:revisionPtr revIDLastSave="0" documentId="13_ncr:1_{E03E0F5E-5455-8B4A-983B-09CFE508B553}" xr6:coauthVersionLast="47" xr6:coauthVersionMax="47" xr10:uidLastSave="{00000000-0000-0000-0000-000000000000}"/>
  <bookViews>
    <workbookView xWindow="0" yWindow="600" windowWidth="29020" windowHeight="15700" tabRatio="994" xr2:uid="{00000000-000D-0000-FFFF-FFFF00000000}"/>
  </bookViews>
  <sheets>
    <sheet name="견적서" sheetId="10" r:id="rId1"/>
  </sheets>
  <definedNames>
    <definedName name="_xlnm.Print_Area" localSheetId="0">견적서!$A$1:$I$30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0" l="1"/>
  <c r="I17" i="10" l="1"/>
  <c r="I18" i="10" s="1"/>
  <c r="H19" i="10" l="1"/>
  <c r="B13" i="10" s="1"/>
</calcChain>
</file>

<file path=xl/sharedStrings.xml><?xml version="1.0" encoding="utf-8"?>
<sst xmlns="http://schemas.openxmlformats.org/spreadsheetml/2006/main" count="61" uniqueCount="61">
  <si>
    <t xml:space="preserve"> </t>
    <phoneticPr fontId="2" type="noConversion"/>
  </si>
  <si>
    <t>구     분</t>
    <phoneticPr fontId="6" type="noConversion"/>
  </si>
  <si>
    <t>[기타사항]</t>
    <phoneticPr fontId="2" type="noConversion"/>
  </si>
  <si>
    <t>견   적   서</t>
    <phoneticPr fontId="6" type="noConversion"/>
  </si>
  <si>
    <t>[단위 : 원]</t>
    <phoneticPr fontId="2" type="noConversion"/>
  </si>
  <si>
    <t>공급가</t>
    <phoneticPr fontId="2" type="noConversion"/>
  </si>
  <si>
    <t>2. 품목 및 금액</t>
    <phoneticPr fontId="6" type="noConversion"/>
  </si>
  <si>
    <t>1. 견적 조건</t>
    <phoneticPr fontId="6" type="noConversion"/>
  </si>
  <si>
    <t>단위</t>
    <phoneticPr fontId="2" type="noConversion"/>
  </si>
  <si>
    <t>견 적 금 액</t>
    <phoneticPr fontId="6" type="noConversion"/>
  </si>
  <si>
    <t>견적 유효기간</t>
    <phoneticPr fontId="2" type="noConversion"/>
  </si>
  <si>
    <t>사업자등록번호</t>
    <phoneticPr fontId="2" type="noConversion"/>
  </si>
  <si>
    <t>대표이사</t>
    <phoneticPr fontId="2" type="noConversion"/>
  </si>
  <si>
    <t>종     목</t>
    <phoneticPr fontId="2" type="noConversion"/>
  </si>
  <si>
    <t>담 당 자</t>
    <phoneticPr fontId="2" type="noConversion"/>
  </si>
  <si>
    <t>업     태</t>
    <phoneticPr fontId="2" type="noConversion"/>
  </si>
  <si>
    <t>상     호</t>
    <phoneticPr fontId="2" type="noConversion"/>
  </si>
  <si>
    <t>연 락 처</t>
    <phoneticPr fontId="2" type="noConversion"/>
  </si>
  <si>
    <t>견적 후 2주 한</t>
    <phoneticPr fontId="2" type="noConversion"/>
  </si>
  <si>
    <t>고객사 현장 내</t>
    <phoneticPr fontId="2" type="noConversion"/>
  </si>
  <si>
    <t xml:space="preserve"> + 시스템 구축 및 검수완료 후 1년간 무상 하자보수지원 포함</t>
    <phoneticPr fontId="2" type="noConversion"/>
  </si>
  <si>
    <t xml:space="preserve"> + 무상하자보수 기간 종료 후 년 단위 유상유지보수 계약 체결 진행</t>
    <phoneticPr fontId="2" type="noConversion"/>
  </si>
  <si>
    <t>▶ 무상유지보수부분</t>
    <phoneticPr fontId="2" type="noConversion"/>
  </si>
  <si>
    <t>▶ 유상유지보수부분</t>
    <phoneticPr fontId="2" type="noConversion"/>
  </si>
  <si>
    <t>유지보수부분</t>
    <phoneticPr fontId="2" type="noConversion"/>
  </si>
  <si>
    <t>기 타 사 항</t>
    <phoneticPr fontId="2" type="noConversion"/>
  </si>
  <si>
    <t>307 - 81 - 15849</t>
    <phoneticPr fontId="2" type="noConversion"/>
  </si>
  <si>
    <t>㈜비젼아이티</t>
    <phoneticPr fontId="2" type="noConversion"/>
  </si>
  <si>
    <t>서비스, 도매, 
정보통신공사업</t>
    <phoneticPr fontId="2" type="noConversion"/>
  </si>
  <si>
    <t>컴퓨터주변기기,</t>
    <phoneticPr fontId="2" type="noConversion"/>
  </si>
  <si>
    <t>견 적 건 명</t>
    <phoneticPr fontId="6" type="noConversion"/>
  </si>
  <si>
    <t>단가</t>
    <phoneticPr fontId="2" type="noConversion"/>
  </si>
  <si>
    <t>소    계</t>
    <phoneticPr fontId="2" type="noConversion"/>
  </si>
  <si>
    <t>충남 공주시 한적2길 47(금흥동) 성화빌딩 5층  041-856-6551</t>
    <phoneticPr fontId="2" type="noConversion"/>
  </si>
  <si>
    <t>A4(210x297)</t>
  </si>
  <si>
    <t>㈜비젼아이티</t>
    <phoneticPr fontId="2" type="noConversion"/>
  </si>
  <si>
    <t>QEP-710-01(Rev.0)</t>
    <phoneticPr fontId="2" type="noConversion"/>
  </si>
  <si>
    <t>부 가 세</t>
    <phoneticPr fontId="2" type="noConversion"/>
  </si>
  <si>
    <t>최종 합계금액 (VAT 포함)</t>
    <phoneticPr fontId="2" type="noConversion"/>
  </si>
  <si>
    <t>(VAT포함)</t>
    <phoneticPr fontId="2" type="noConversion"/>
  </si>
  <si>
    <t xml:space="preserve">  귀사의 무궁한 발전을 기원하며</t>
    <phoneticPr fontId="2" type="noConversion"/>
  </si>
  <si>
    <t xml:space="preserve">  아래와 같이 견적합니다.</t>
    <phoneticPr fontId="6" type="noConversion"/>
  </si>
  <si>
    <t>이 지 환      (인)</t>
    <phoneticPr fontId="2" type="noConversion"/>
  </si>
  <si>
    <t>양기헌</t>
    <phoneticPr fontId="2" type="noConversion"/>
  </si>
  <si>
    <t>010-7490-2836</t>
    <phoneticPr fontId="2" type="noConversion"/>
  </si>
  <si>
    <t>협의 후 결정</t>
    <phoneticPr fontId="2" type="noConversion"/>
  </si>
  <si>
    <t>결 제 조 건</t>
    <phoneticPr fontId="2" type="noConversion"/>
  </si>
  <si>
    <t>검수 후 15일 이내</t>
    <phoneticPr fontId="2" type="noConversion"/>
  </si>
  <si>
    <t>내용</t>
    <phoneticPr fontId="2" type="noConversion"/>
  </si>
  <si>
    <t>작 업 기 한</t>
    <phoneticPr fontId="2" type="noConversion"/>
  </si>
  <si>
    <t>작 업 장 소</t>
    <phoneticPr fontId="2" type="noConversion"/>
  </si>
  <si>
    <t>수량</t>
    <phoneticPr fontId="2" type="noConversion"/>
  </si>
  <si>
    <t>한국기술교육대학교  귀중</t>
    <phoneticPr fontId="6" type="noConversion"/>
  </si>
  <si>
    <t>▷ 수     신 : 다산정보관 귀하</t>
    <phoneticPr fontId="6" type="noConversion"/>
  </si>
  <si>
    <t xml:space="preserve">▷ 참     조 : 차상욱 선생님                  </t>
    <phoneticPr fontId="6" type="noConversion"/>
  </si>
  <si>
    <t xml:space="preserve"> - 모델명: 키스위치 KC-K2112 [KC-K2112-R,2P,0-Alternate,IP65,205V/5A,Dual OUT]</t>
    <phoneticPr fontId="2" type="noConversion"/>
  </si>
  <si>
    <t>개</t>
    <phoneticPr fontId="2" type="noConversion"/>
  </si>
  <si>
    <t>▷ 견 적 일 :  2026년 09월 15일</t>
    <phoneticPr fontId="6" type="noConversion"/>
  </si>
  <si>
    <t>견적번호 : VI-견적-20260915-001</t>
    <phoneticPr fontId="2" type="noConversion"/>
  </si>
  <si>
    <t>전원 키스위치
교체</t>
    <phoneticPr fontId="2" type="noConversion"/>
  </si>
  <si>
    <t>전원 키스위치 교체 작업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</si>
</sst>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_);[Red]\(&quot;₩&quot;#,##0\)"/>
    <numFmt numFmtId="176" formatCode="_-&quot;₩&quot;* #,##0_-;\-&quot;₩&quot;* #,##0_-;_-&quot;₩&quot;* &quot;-&quot;_-;_-@_-"/>
    <numFmt numFmtId="177" formatCode="_-* #,##0_-;\-* #,##0_-;_-* &quot;-&quot;_-;_-@_-"/>
    <numFmt numFmtId="178" formatCode="_ * #,##0_ ;_ * \-#,##0_ ;_ * &quot;-&quot;_ ;_ @_ "/>
    <numFmt numFmtId="179" formatCode="&quot;₩&quot;#,##0"/>
    <numFmt numFmtId="180" formatCode="#,##0_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8"/>
      <name val="굴림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8" fontId="3" fillId="0" borderId="0" applyNumberFormat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0" fontId="4" fillId="0" borderId="0"/>
    <xf numFmtId="177" fontId="1" fillId="0" borderId="0" applyFont="0" applyFill="0" applyBorder="0" applyAlignment="0" applyProtection="0">
      <alignment vertical="center"/>
    </xf>
  </cellStyleXfs>
  <cellXfs count="114">
    <xf numFmtId="0" fontId="0" fillId="0" borderId="0" xfId="0"/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quotePrefix="1" applyFont="1" applyFill="1" applyAlignment="1">
      <alignment vertic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center" vertical="center"/>
    </xf>
    <xf numFmtId="180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31" fontId="8" fillId="2" borderId="0" xfId="0" applyNumberFormat="1" applyFont="1" applyFill="1" applyAlignment="1">
      <alignment horizontal="center" vertical="center"/>
    </xf>
    <xf numFmtId="179" fontId="8" fillId="2" borderId="0" xfId="0" applyNumberFormat="1" applyFont="1" applyFill="1" applyAlignment="1">
      <alignment horizontal="left" vertical="center"/>
    </xf>
    <xf numFmtId="31" fontId="8" fillId="2" borderId="22" xfId="0" applyNumberFormat="1" applyFont="1" applyFill="1" applyBorder="1" applyAlignment="1">
      <alignment horizontal="center" vertical="center"/>
    </xf>
    <xf numFmtId="179" fontId="8" fillId="2" borderId="24" xfId="0" applyNumberFormat="1" applyFont="1" applyFill="1" applyBorder="1" applyAlignment="1">
      <alignment horizontal="left" vertical="center"/>
    </xf>
    <xf numFmtId="179" fontId="8" fillId="2" borderId="6" xfId="0" applyNumberFormat="1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180" fontId="10" fillId="4" borderId="27" xfId="0" applyNumberFormat="1" applyFont="1" applyFill="1" applyBorder="1" applyAlignment="1">
      <alignment horizontal="center" vertical="center"/>
    </xf>
    <xf numFmtId="180" fontId="7" fillId="3" borderId="29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22" xfId="0" applyFont="1" applyFill="1" applyBorder="1" applyAlignment="1">
      <alignment horizontal="center" vertical="center"/>
    </xf>
    <xf numFmtId="38" fontId="8" fillId="7" borderId="8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6" fontId="8" fillId="2" borderId="1" xfId="0" applyNumberFormat="1" applyFont="1" applyFill="1" applyBorder="1" applyAlignment="1">
      <alignment horizontal="right" vertical="center"/>
    </xf>
    <xf numFmtId="6" fontId="7" fillId="3" borderId="29" xfId="0" applyNumberFormat="1" applyFont="1" applyFill="1" applyBorder="1" applyAlignment="1">
      <alignment horizontal="right" vertical="center"/>
    </xf>
    <xf numFmtId="177" fontId="7" fillId="3" borderId="30" xfId="8" applyFont="1" applyFill="1" applyBorder="1" applyAlignment="1">
      <alignment horizontal="right" vertical="center"/>
    </xf>
    <xf numFmtId="177" fontId="8" fillId="7" borderId="3" xfId="8" applyFont="1" applyFill="1" applyBorder="1" applyAlignment="1">
      <alignment horizontal="right" vertical="center"/>
    </xf>
    <xf numFmtId="0" fontId="8" fillId="2" borderId="58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31" fontId="8" fillId="2" borderId="23" xfId="0" applyNumberFormat="1" applyFont="1" applyFill="1" applyBorder="1" applyAlignment="1">
      <alignment horizontal="center" vertical="center"/>
    </xf>
    <xf numFmtId="31" fontId="8" fillId="2" borderId="10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8" fillId="2" borderId="1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0" xfId="0" applyFont="1" applyFill="1"/>
    <xf numFmtId="0" fontId="8" fillId="2" borderId="1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top"/>
    </xf>
    <xf numFmtId="0" fontId="8" fillId="2" borderId="20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left" vertical="center" wrapText="1"/>
    </xf>
    <xf numFmtId="0" fontId="7" fillId="3" borderId="55" xfId="0" applyFont="1" applyFill="1" applyBorder="1" applyAlignment="1">
      <alignment horizontal="left" vertical="center" wrapText="1"/>
    </xf>
    <xf numFmtId="0" fontId="7" fillId="3" borderId="57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177" fontId="16" fillId="4" borderId="8" xfId="8" applyFont="1" applyFill="1" applyBorder="1" applyAlignment="1">
      <alignment horizontal="right" vertical="center"/>
    </xf>
    <xf numFmtId="177" fontId="17" fillId="4" borderId="53" xfId="8" applyFont="1" applyFill="1" applyBorder="1" applyAlignment="1">
      <alignment horizontal="right" vertical="center"/>
    </xf>
    <xf numFmtId="0" fontId="16" fillId="4" borderId="51" xfId="0" applyFont="1" applyFill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/>
    </xf>
    <xf numFmtId="0" fontId="16" fillId="4" borderId="3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45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lef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6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36" xfId="0" applyFont="1" applyFill="1" applyBorder="1" applyAlignment="1">
      <alignment horizontal="left" vertical="center"/>
    </xf>
    <xf numFmtId="0" fontId="7" fillId="3" borderId="53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36" xfId="0" applyFont="1" applyFill="1" applyBorder="1" applyAlignment="1">
      <alignment horizontal="left" vertical="center"/>
    </xf>
    <xf numFmtId="0" fontId="8" fillId="3" borderId="53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horizontal="left" vertical="center"/>
    </xf>
    <xf numFmtId="0" fontId="8" fillId="0" borderId="34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6" borderId="46" xfId="0" applyFont="1" applyFill="1" applyBorder="1" applyAlignment="1">
      <alignment horizontal="center" vertical="center"/>
    </xf>
    <xf numFmtId="0" fontId="8" fillId="6" borderId="47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/>
    </xf>
  </cellXfs>
  <cellStyles count="9">
    <cellStyle name="_Intel" xfId="1" xr:uid="{00000000-0005-0000-0000-000000000000}"/>
    <cellStyle name="쉼표 [0]" xfId="8" builtinId="6"/>
    <cellStyle name="쉼표 [0] 2" xfId="2" xr:uid="{00000000-0005-0000-0000-000002000000}"/>
    <cellStyle name="쉼표 [0] 3" xfId="3" xr:uid="{00000000-0005-0000-0000-000003000000}"/>
    <cellStyle name="콤마 [0]_QUOT_960306" xfId="4" xr:uid="{00000000-0005-0000-0000-000004000000}"/>
    <cellStyle name="통화 [0] 2" xfId="5" xr:uid="{00000000-0005-0000-0000-000005000000}"/>
    <cellStyle name="표준" xfId="0" builtinId="0"/>
    <cellStyle name="표준 5" xfId="6" xr:uid="{00000000-0005-0000-0000-000007000000}"/>
    <cellStyle name="Normal_Sheet2" xfId="7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416719</xdr:colOff>
      <xdr:row>29</xdr:row>
      <xdr:rowOff>11906</xdr:rowOff>
    </xdr:from>
    <xdr:to>
      <xdr:col>4</xdr:col>
      <xdr:colOff>11906</xdr:colOff>
      <xdr:row>30</xdr:row>
      <xdr:rowOff>18793</xdr:rowOff>
    </xdr:to>
    <xdr:pic>
      <xdr:nvPicPr>
        <xdr:cNvPr id="3" name="_x222329264" descr="EMB000004a820e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7469" y="9763125"/>
          <a:ext cx="416718" cy="197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497082</xdr:colOff>
      <xdr:row>4</xdr:row>
      <xdr:rowOff>51302</xdr:rowOff>
    </xdr:from>
    <xdr:to>
      <xdr:col>9</xdr:col>
      <xdr:colOff>6293</xdr:colOff>
      <xdr:row>7</xdr:row>
      <xdr:rowOff>8319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5465035">
          <a:off x="5861178" y="1115359"/>
          <a:ext cx="670171" cy="691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30" zoomScaleNormal="130" workbookViewId="0">
      <selection activeCell="E7" sqref="E7:E8"/>
    </sheetView>
  </sheetViews>
  <sheetFormatPr baseColWidth="10" defaultColWidth="8.83203125" defaultRowHeight="19.5" customHeight="1"/>
  <cols>
    <col min="1" max="1" width="12.5" style="1" customWidth="1"/>
    <col min="2" max="2" width="13" style="1" customWidth="1"/>
    <col min="3" max="3" width="9.6640625" style="1" customWidth="1"/>
    <col min="4" max="4" width="1.33203125" style="1" customWidth="1"/>
    <col min="5" max="5" width="10.83203125" style="1" customWidth="1"/>
    <col min="6" max="7" width="6.1640625" style="1" customWidth="1"/>
    <col min="8" max="8" width="10.6640625" style="1" customWidth="1"/>
    <col min="9" max="9" width="15.5" style="1" bestFit="1" customWidth="1"/>
    <col min="10" max="10" width="1.83203125" style="1" customWidth="1"/>
    <col min="11" max="16384" width="8.83203125" style="1"/>
  </cols>
  <sheetData>
    <row r="1" spans="1:9" s="7" customFormat="1" ht="32" customHeight="1">
      <c r="A1" s="67" t="s">
        <v>3</v>
      </c>
      <c r="B1" s="68"/>
      <c r="C1" s="68"/>
      <c r="D1" s="68"/>
      <c r="E1" s="68"/>
      <c r="F1" s="68"/>
      <c r="G1" s="68"/>
      <c r="H1" s="68"/>
      <c r="I1" s="68"/>
    </row>
    <row r="2" spans="1:9" s="7" customFormat="1" ht="25.25" customHeight="1">
      <c r="A2" s="72" t="s">
        <v>33</v>
      </c>
      <c r="B2" s="72"/>
      <c r="C2" s="72"/>
      <c r="D2" s="72"/>
      <c r="E2" s="72"/>
      <c r="F2" s="72"/>
      <c r="G2" s="72"/>
      <c r="H2" s="72"/>
      <c r="I2" s="72"/>
    </row>
    <row r="3" spans="1:9" ht="7.5" customHeight="1">
      <c r="B3" s="71" t="s">
        <v>0</v>
      </c>
      <c r="C3" s="71"/>
      <c r="D3" s="71"/>
      <c r="E3" s="71"/>
      <c r="F3" s="71"/>
      <c r="G3" s="71"/>
      <c r="H3" s="71"/>
      <c r="I3" s="71"/>
    </row>
    <row r="4" spans="1:9" ht="20" customHeight="1" thickBot="1">
      <c r="A4" s="69" t="s">
        <v>52</v>
      </c>
      <c r="B4" s="70"/>
      <c r="C4" s="35"/>
      <c r="D4" s="35"/>
      <c r="E4" s="73" t="s">
        <v>58</v>
      </c>
      <c r="F4" s="73"/>
      <c r="G4" s="73"/>
      <c r="H4" s="73"/>
      <c r="I4" s="73"/>
    </row>
    <row r="5" spans="1:9" ht="18" customHeight="1">
      <c r="A5" s="4" t="s">
        <v>53</v>
      </c>
      <c r="B5" s="4"/>
      <c r="C5" s="4"/>
      <c r="D5" s="7"/>
      <c r="E5" s="58" t="s">
        <v>11</v>
      </c>
      <c r="F5" s="59"/>
      <c r="G5" s="59"/>
      <c r="H5" s="59" t="s">
        <v>26</v>
      </c>
      <c r="I5" s="60"/>
    </row>
    <row r="6" spans="1:9" ht="19.5" customHeight="1">
      <c r="B6" s="28" t="s">
        <v>54</v>
      </c>
      <c r="C6" s="28"/>
      <c r="D6" s="4"/>
      <c r="E6" s="10" t="s">
        <v>16</v>
      </c>
      <c r="F6" s="61" t="s">
        <v>27</v>
      </c>
      <c r="G6" s="61"/>
      <c r="H6" s="11" t="s">
        <v>12</v>
      </c>
      <c r="I6" s="9" t="s">
        <v>42</v>
      </c>
    </row>
    <row r="7" spans="1:9" ht="19.5" customHeight="1">
      <c r="A7" s="62" t="s">
        <v>57</v>
      </c>
      <c r="B7" s="53"/>
      <c r="C7" s="8"/>
      <c r="D7" s="7"/>
      <c r="E7" s="47" t="s">
        <v>15</v>
      </c>
      <c r="F7" s="49" t="s">
        <v>28</v>
      </c>
      <c r="G7" s="50"/>
      <c r="H7" s="65" t="s">
        <v>13</v>
      </c>
      <c r="I7" s="63" t="s">
        <v>29</v>
      </c>
    </row>
    <row r="8" spans="1:9" ht="15" customHeight="1">
      <c r="A8" s="7" t="s">
        <v>40</v>
      </c>
      <c r="D8" s="8"/>
      <c r="E8" s="48"/>
      <c r="F8" s="51"/>
      <c r="G8" s="52"/>
      <c r="H8" s="66"/>
      <c r="I8" s="64"/>
    </row>
    <row r="9" spans="1:9" s="2" customFormat="1" ht="19.5" customHeight="1" thickBot="1">
      <c r="A9" s="8" t="s">
        <v>41</v>
      </c>
      <c r="B9" s="8"/>
      <c r="C9" s="8"/>
      <c r="D9" s="8"/>
      <c r="E9" s="12" t="s">
        <v>14</v>
      </c>
      <c r="F9" s="54" t="s">
        <v>43</v>
      </c>
      <c r="G9" s="55"/>
      <c r="H9" s="16" t="s">
        <v>17</v>
      </c>
      <c r="I9" s="13" t="s">
        <v>44</v>
      </c>
    </row>
    <row r="10" spans="1:9" ht="7.5" customHeight="1">
      <c r="A10" s="3"/>
      <c r="B10" s="15"/>
      <c r="C10" s="15"/>
      <c r="D10" s="15"/>
      <c r="E10" s="15"/>
      <c r="F10" s="18"/>
      <c r="G10" s="18"/>
      <c r="H10" s="18"/>
      <c r="I10" s="18"/>
    </row>
    <row r="11" spans="1:9" s="8" customFormat="1" ht="20" customHeight="1" thickBot="1">
      <c r="A11" s="53" t="s">
        <v>7</v>
      </c>
      <c r="B11" s="53"/>
      <c r="I11" s="31" t="s">
        <v>4</v>
      </c>
    </row>
    <row r="12" spans="1:9" ht="20" customHeight="1">
      <c r="A12" s="29" t="s">
        <v>30</v>
      </c>
      <c r="B12" s="44" t="s">
        <v>60</v>
      </c>
      <c r="C12" s="45"/>
      <c r="D12" s="19"/>
      <c r="E12" s="21" t="s">
        <v>49</v>
      </c>
      <c r="F12" s="56" t="s">
        <v>45</v>
      </c>
      <c r="G12" s="57"/>
      <c r="H12" s="17" t="s">
        <v>50</v>
      </c>
      <c r="I12" s="14" t="s">
        <v>19</v>
      </c>
    </row>
    <row r="13" spans="1:9" ht="20" customHeight="1" thickBot="1">
      <c r="A13" s="12" t="s">
        <v>9</v>
      </c>
      <c r="B13" s="36">
        <f>H19</f>
        <v>330000</v>
      </c>
      <c r="C13" s="22" t="s">
        <v>39</v>
      </c>
      <c r="D13" s="20"/>
      <c r="E13" s="23" t="s">
        <v>10</v>
      </c>
      <c r="F13" s="54" t="s">
        <v>18</v>
      </c>
      <c r="G13" s="55"/>
      <c r="H13" s="16" t="s">
        <v>46</v>
      </c>
      <c r="I13" s="13" t="s">
        <v>47</v>
      </c>
    </row>
    <row r="14" spans="1:9" s="7" customFormat="1" ht="20" customHeight="1" thickBot="1">
      <c r="A14" s="46" t="s">
        <v>6</v>
      </c>
      <c r="B14" s="46"/>
      <c r="C14" s="4"/>
      <c r="D14" s="4"/>
      <c r="E14" s="4"/>
    </row>
    <row r="15" spans="1:9" ht="21" customHeight="1" thickBot="1">
      <c r="A15" s="24" t="s">
        <v>1</v>
      </c>
      <c r="B15" s="41" t="s">
        <v>48</v>
      </c>
      <c r="C15" s="42"/>
      <c r="D15" s="42"/>
      <c r="E15" s="43"/>
      <c r="F15" s="25" t="s">
        <v>51</v>
      </c>
      <c r="G15" s="25" t="s">
        <v>8</v>
      </c>
      <c r="H15" s="25" t="s">
        <v>31</v>
      </c>
      <c r="I15" s="26" t="s">
        <v>5</v>
      </c>
    </row>
    <row r="16" spans="1:9" ht="90" customHeight="1" thickTop="1">
      <c r="A16" s="40" t="s">
        <v>59</v>
      </c>
      <c r="B16" s="74" t="s">
        <v>55</v>
      </c>
      <c r="C16" s="75"/>
      <c r="D16" s="75"/>
      <c r="E16" s="76"/>
      <c r="F16" s="27">
        <v>1</v>
      </c>
      <c r="G16" s="27" t="s">
        <v>56</v>
      </c>
      <c r="H16" s="37">
        <v>300000</v>
      </c>
      <c r="I16" s="38">
        <f>F16*H16</f>
        <v>300000</v>
      </c>
    </row>
    <row r="17" spans="1:9" ht="20" customHeight="1">
      <c r="A17" s="111" t="s">
        <v>32</v>
      </c>
      <c r="B17" s="112"/>
      <c r="C17" s="112"/>
      <c r="D17" s="112"/>
      <c r="E17" s="112"/>
      <c r="F17" s="112"/>
      <c r="G17" s="113"/>
      <c r="H17" s="30"/>
      <c r="I17" s="39">
        <f>SUM(I16:I16)</f>
        <v>300000</v>
      </c>
    </row>
    <row r="18" spans="1:9" ht="20" customHeight="1">
      <c r="A18" s="111" t="s">
        <v>37</v>
      </c>
      <c r="B18" s="112"/>
      <c r="C18" s="112"/>
      <c r="D18" s="112"/>
      <c r="E18" s="112"/>
      <c r="F18" s="112"/>
      <c r="G18" s="113"/>
      <c r="H18" s="30"/>
      <c r="I18" s="39">
        <f>I17*10%</f>
        <v>30000</v>
      </c>
    </row>
    <row r="19" spans="1:9" ht="25.25" customHeight="1">
      <c r="A19" s="88" t="s">
        <v>38</v>
      </c>
      <c r="B19" s="89"/>
      <c r="C19" s="89"/>
      <c r="D19" s="89"/>
      <c r="E19" s="89"/>
      <c r="F19" s="89"/>
      <c r="G19" s="90"/>
      <c r="H19" s="86">
        <f>I17+I18</f>
        <v>330000</v>
      </c>
      <c r="I19" s="87"/>
    </row>
    <row r="20" spans="1:9" ht="15" customHeight="1" thickBot="1">
      <c r="A20" s="106" t="s">
        <v>25</v>
      </c>
      <c r="B20" s="107"/>
      <c r="C20" s="107"/>
      <c r="D20" s="107"/>
      <c r="E20" s="107"/>
      <c r="F20" s="107"/>
      <c r="G20" s="107"/>
      <c r="H20" s="107"/>
      <c r="I20" s="108"/>
    </row>
    <row r="21" spans="1:9" ht="20" hidden="1" customHeight="1" thickTop="1">
      <c r="A21" s="109" t="s">
        <v>24</v>
      </c>
      <c r="B21" s="94" t="s">
        <v>22</v>
      </c>
      <c r="C21" s="95"/>
      <c r="D21" s="95"/>
      <c r="E21" s="95"/>
      <c r="F21" s="95"/>
      <c r="G21" s="95"/>
      <c r="H21" s="95"/>
      <c r="I21" s="96"/>
    </row>
    <row r="22" spans="1:9" ht="20" hidden="1" customHeight="1">
      <c r="A22" s="109"/>
      <c r="B22" s="97" t="s">
        <v>20</v>
      </c>
      <c r="C22" s="98"/>
      <c r="D22" s="98"/>
      <c r="E22" s="98"/>
      <c r="F22" s="98"/>
      <c r="G22" s="98"/>
      <c r="H22" s="98"/>
      <c r="I22" s="99"/>
    </row>
    <row r="23" spans="1:9" ht="20" hidden="1" customHeight="1">
      <c r="A23" s="109"/>
      <c r="B23" s="100" t="s">
        <v>23</v>
      </c>
      <c r="C23" s="101"/>
      <c r="D23" s="101"/>
      <c r="E23" s="101"/>
      <c r="F23" s="101"/>
      <c r="G23" s="101"/>
      <c r="H23" s="101"/>
      <c r="I23" s="102"/>
    </row>
    <row r="24" spans="1:9" ht="20" hidden="1" customHeight="1" thickBot="1">
      <c r="A24" s="110"/>
      <c r="B24" s="91" t="s">
        <v>21</v>
      </c>
      <c r="C24" s="92"/>
      <c r="D24" s="92"/>
      <c r="E24" s="92"/>
      <c r="F24" s="92"/>
      <c r="G24" s="92"/>
      <c r="H24" s="92"/>
      <c r="I24" s="93"/>
    </row>
    <row r="25" spans="1:9" ht="7.5" customHeight="1" thickTop="1" thickBot="1">
      <c r="F25" s="5"/>
      <c r="G25" s="5"/>
      <c r="H25" s="5"/>
      <c r="I25" s="6"/>
    </row>
    <row r="26" spans="1:9" ht="20" customHeight="1">
      <c r="A26" s="103" t="s">
        <v>2</v>
      </c>
      <c r="B26" s="104"/>
      <c r="C26" s="104"/>
      <c r="D26" s="104"/>
      <c r="E26" s="104"/>
      <c r="F26" s="104"/>
      <c r="G26" s="104"/>
      <c r="H26" s="104"/>
      <c r="I26" s="105"/>
    </row>
    <row r="27" spans="1:9" ht="15" customHeight="1">
      <c r="A27" s="77"/>
      <c r="B27" s="78"/>
      <c r="C27" s="78"/>
      <c r="D27" s="78"/>
      <c r="E27" s="78"/>
      <c r="F27" s="78"/>
      <c r="G27" s="78"/>
      <c r="H27" s="78"/>
      <c r="I27" s="79"/>
    </row>
    <row r="28" spans="1:9" ht="15" customHeight="1">
      <c r="A28" s="80"/>
      <c r="B28" s="81"/>
      <c r="C28" s="81"/>
      <c r="D28" s="81"/>
      <c r="E28" s="81"/>
      <c r="F28" s="81"/>
      <c r="G28" s="81"/>
      <c r="H28" s="81"/>
      <c r="I28" s="82"/>
    </row>
    <row r="29" spans="1:9" ht="15" customHeight="1" thickBot="1">
      <c r="A29" s="83"/>
      <c r="B29" s="84"/>
      <c r="C29" s="84"/>
      <c r="D29" s="84"/>
      <c r="E29" s="84"/>
      <c r="F29" s="84"/>
      <c r="G29" s="84"/>
      <c r="H29" s="84"/>
      <c r="I29" s="85"/>
    </row>
    <row r="30" spans="1:9" ht="15" customHeight="1">
      <c r="A30" s="32" t="s">
        <v>36</v>
      </c>
      <c r="E30" s="34" t="s">
        <v>35</v>
      </c>
      <c r="F30" s="5"/>
      <c r="G30" s="5"/>
      <c r="H30" s="5"/>
      <c r="I30" s="33" t="s">
        <v>34</v>
      </c>
    </row>
    <row r="31" spans="1:9" ht="15" customHeight="1">
      <c r="F31" s="5"/>
      <c r="G31" s="5"/>
      <c r="H31" s="5"/>
      <c r="I31" s="6"/>
    </row>
    <row r="32" spans="1:9" ht="15" customHeight="1">
      <c r="A32" s="5"/>
    </row>
    <row r="33" ht="15" customHeight="1"/>
    <row r="34" ht="15" customHeight="1"/>
    <row r="35" ht="15.75" customHeight="1"/>
  </sheetData>
  <sheetProtection formatCells="0" formatColumns="0" formatRows="0" insertColumns="0" insertRows="0" insertHyperlinks="0" deleteColumns="0" deleteRows="0" sort="0" autoFilter="0" pivotTables="0"/>
  <mergeCells count="33">
    <mergeCell ref="B16:E16"/>
    <mergeCell ref="A27:I29"/>
    <mergeCell ref="H19:I19"/>
    <mergeCell ref="A19:G19"/>
    <mergeCell ref="B24:I24"/>
    <mergeCell ref="B21:I21"/>
    <mergeCell ref="B22:I22"/>
    <mergeCell ref="B23:I23"/>
    <mergeCell ref="A26:I26"/>
    <mergeCell ref="A20:I20"/>
    <mergeCell ref="A21:A24"/>
    <mergeCell ref="A18:G18"/>
    <mergeCell ref="A17:G17"/>
    <mergeCell ref="A1:I1"/>
    <mergeCell ref="A4:B4"/>
    <mergeCell ref="B3:I3"/>
    <mergeCell ref="A2:I2"/>
    <mergeCell ref="E4:I4"/>
    <mergeCell ref="E5:G5"/>
    <mergeCell ref="H5:I5"/>
    <mergeCell ref="F6:G6"/>
    <mergeCell ref="A7:B7"/>
    <mergeCell ref="I7:I8"/>
    <mergeCell ref="H7:H8"/>
    <mergeCell ref="B15:E15"/>
    <mergeCell ref="B12:C12"/>
    <mergeCell ref="A14:B14"/>
    <mergeCell ref="E7:E8"/>
    <mergeCell ref="F7:G8"/>
    <mergeCell ref="A11:B11"/>
    <mergeCell ref="F9:G9"/>
    <mergeCell ref="F12:G12"/>
    <mergeCell ref="F13:G13"/>
  </mergeCells>
  <phoneticPr fontId="2" type="noConversion"/>
  <printOptions horizontalCentered="1"/>
  <pageMargins left="0.19685039370078741" right="0.19685039370078741" top="0.78740157480314965" bottom="0.39370078740157483" header="0.19685039370078741" footer="0.1968503937007874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(주)이엔지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구인철</dc:creator>
  <cp:lastModifiedBy>해진 이</cp:lastModifiedBy>
  <cp:lastPrinted>2026-05-18T07:48:04Z</cp:lastPrinted>
  <dcterms:created xsi:type="dcterms:W3CDTF">2001-08-09T04:35:27Z</dcterms:created>
  <dcterms:modified xsi:type="dcterms:W3CDTF">2026-09-22T00:07:32Z</dcterms:modified>
</cp:coreProperties>
</file>