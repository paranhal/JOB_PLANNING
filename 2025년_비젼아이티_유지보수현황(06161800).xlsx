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현재_통합_문서"/>
  <mc:AlternateContent xmlns:mc="http://schemas.openxmlformats.org/markup-compatibility/2006">
    <mc:Choice Requires="x15">
      <x15ac:absPath xmlns:x15ac="http://schemas.microsoft.com/office/spreadsheetml/2010/11/ac" url="C:\업무\비젼아이티(양기헌)\"/>
    </mc:Choice>
  </mc:AlternateContent>
  <xr:revisionPtr revIDLastSave="0" documentId="13_ncr:1_{8374D7FE-75CD-49E9-A7B9-FB23BE2F0575}" xr6:coauthVersionLast="47" xr6:coauthVersionMax="47" xr10:uidLastSave="{00000000-0000-0000-0000-000000000000}"/>
  <bookViews>
    <workbookView xWindow="-120" yWindow="-120" windowWidth="29040" windowHeight="15720" tabRatio="672" activeTab="4" xr2:uid="{00000000-000D-0000-FFFF-FFFF00000000}"/>
  </bookViews>
  <sheets>
    <sheet name="NICOM_처리리스트" sheetId="3" r:id="rId1"/>
    <sheet name="NICOM_유지보수_통계" sheetId="21" state="hidden" r:id="rId2"/>
    <sheet name="25년원콜지원센터통합" sheetId="8" r:id="rId3"/>
    <sheet name="세종시_KLAS 처리리스트" sheetId="37" r:id="rId4"/>
    <sheet name="6월" sheetId="29" r:id="rId5"/>
    <sheet name="NICOM_유지보수현황" sheetId="1" r:id="rId6"/>
    <sheet name="AS" sheetId="2" state="hidden" r:id="rId7"/>
    <sheet name="충남교육청_KLAS" sheetId="4" r:id="rId8"/>
    <sheet name="세종시도서관_KLAS" sheetId="36" r:id="rId9"/>
    <sheet name="VISIONIT_MaintenanceList" sheetId="5" r:id="rId10"/>
    <sheet name="2025예산" sheetId="22" r:id="rId11"/>
    <sheet name="1월" sheetId="24" r:id="rId12"/>
    <sheet name="2월" sheetId="25" r:id="rId13"/>
    <sheet name="3월" sheetId="26" r:id="rId14"/>
    <sheet name="4월" sheetId="27" r:id="rId15"/>
    <sheet name="5월" sheetId="28" r:id="rId16"/>
    <sheet name="7월" sheetId="30" r:id="rId17"/>
    <sheet name="8월" sheetId="31" r:id="rId18"/>
    <sheet name="9월" sheetId="32" r:id="rId19"/>
    <sheet name="10월" sheetId="33" r:id="rId20"/>
    <sheet name="11월" sheetId="34" r:id="rId21"/>
    <sheet name="12월" sheetId="35" r:id="rId22"/>
  </sheets>
  <externalReferences>
    <externalReference r:id="rId23"/>
  </externalReferences>
  <definedNames>
    <definedName name="_xlnm._FilterDatabase" localSheetId="2" hidden="1">'25년원콜지원센터통합'!$A$1:$J$1085</definedName>
    <definedName name="_xlnm._FilterDatabase" localSheetId="5" hidden="1">NICOM_유지보수현황!$A$2:$Q$177</definedName>
    <definedName name="_xlnm._FilterDatabase" localSheetId="0" hidden="1">NICOM_처리리스트!$A$1:$K$183</definedName>
    <definedName name="_xlnm._FilterDatabase" localSheetId="9" hidden="1">VISIONIT_MaintenanceList!$A$2:$Q$201</definedName>
    <definedName name="_xlnm.Print_Area" localSheetId="11">'1월'!$A$1:$H$14</definedName>
    <definedName name="_xlnm.Print_Area" localSheetId="5">NICOM_유지보수현황!$A$140:$M$171</definedName>
    <definedName name="_xlnm.Print_Area" localSheetId="0">NICOM_처리리스트!$A$1:$J$1</definedName>
    <definedName name="_xlnm.Print_Area" localSheetId="9">VISIONIT_MaintenanceList!$A$139:$N$175</definedName>
    <definedName name="달력연도" localSheetId="19">'[1]1월'!$K$2</definedName>
    <definedName name="달력연도" localSheetId="20">'[1]1월'!$K$2</definedName>
    <definedName name="달력연도" localSheetId="21">'[1]1월'!$K$2</definedName>
    <definedName name="달력연도" localSheetId="11">'1월'!$K$2</definedName>
    <definedName name="달력연도" localSheetId="12">'[1]1월'!$K$2</definedName>
    <definedName name="달력연도" localSheetId="13">'[1]1월'!$K$2</definedName>
    <definedName name="달력연도" localSheetId="14">'[1]1월'!$K$2</definedName>
    <definedName name="달력연도" localSheetId="15">'[1]1월'!$K$2</definedName>
    <definedName name="달력연도" localSheetId="4">'[1]1월'!$K$2</definedName>
    <definedName name="달력연도" localSheetId="16">'[1]1월'!$K$2</definedName>
    <definedName name="달력연도" localSheetId="17">'[1]1월'!$K$2</definedName>
    <definedName name="달력연도" localSheetId="18">'[1]1월'!$K$2</definedName>
    <definedName name="달력연도" localSheetId="8">#REF!</definedName>
    <definedName name="달력연도">#REF!</definedName>
    <definedName name="열제목영역1..H12.1" localSheetId="11">'1월'!$B$2</definedName>
    <definedName name="열제목영역1..H12.1" localSheetId="8">#REF!</definedName>
    <definedName name="열제목영역1..H12.1">#REF!</definedName>
    <definedName name="열제목영역1..H12.10" localSheetId="19">'10월'!$B$2</definedName>
    <definedName name="열제목영역1..H12.10" localSheetId="20">'10월'!$B$2</definedName>
    <definedName name="열제목영역1..H12.10" localSheetId="21">'10월'!$B$2</definedName>
    <definedName name="열제목영역1..H12.10" localSheetId="8">#REF!</definedName>
    <definedName name="열제목영역1..H12.10">#REF!</definedName>
    <definedName name="열제목영역1..H12.11" localSheetId="20">'11월'!$B$2</definedName>
    <definedName name="열제목영역1..H12.11" localSheetId="21">'11월'!$B$2</definedName>
    <definedName name="열제목영역1..H12.11" localSheetId="8">#REF!</definedName>
    <definedName name="열제목영역1..H12.11">#REF!</definedName>
    <definedName name="열제목영역1..H12.12" localSheetId="21">'12월'!$B$2</definedName>
    <definedName name="열제목영역1..H12.12" localSheetId="8">#REF!</definedName>
    <definedName name="열제목영역1..H12.12">#REF!</definedName>
    <definedName name="열제목영역1..H12.2" localSheetId="19">'2월'!$B$2</definedName>
    <definedName name="열제목영역1..H12.2" localSheetId="20">'2월'!$B$2</definedName>
    <definedName name="열제목영역1..H12.2" localSheetId="21">'2월'!$B$2</definedName>
    <definedName name="열제목영역1..H12.2" localSheetId="12">'2월'!$B$2</definedName>
    <definedName name="열제목영역1..H12.2" localSheetId="13">'2월'!$B$2</definedName>
    <definedName name="열제목영역1..H12.2" localSheetId="14">'2월'!$B$2</definedName>
    <definedName name="열제목영역1..H12.2" localSheetId="15">'2월'!$B$2</definedName>
    <definedName name="열제목영역1..H12.2" localSheetId="4">'2월'!$B$2</definedName>
    <definedName name="열제목영역1..H12.2" localSheetId="16">'2월'!$B$2</definedName>
    <definedName name="열제목영역1..H12.2" localSheetId="17">'2월'!$B$2</definedName>
    <definedName name="열제목영역1..H12.2" localSheetId="18">'2월'!$B$2</definedName>
    <definedName name="열제목영역1..H12.2" localSheetId="8">#REF!</definedName>
    <definedName name="열제목영역1..H12.2">#REF!</definedName>
    <definedName name="열제목영역1..H12.3" localSheetId="19">'3월'!$B$2</definedName>
    <definedName name="열제목영역1..H12.3" localSheetId="20">'3월'!$B$2</definedName>
    <definedName name="열제목영역1..H12.3" localSheetId="21">'3월'!$B$2</definedName>
    <definedName name="열제목영역1..H12.3" localSheetId="13">'3월'!$B$2</definedName>
    <definedName name="열제목영역1..H12.3" localSheetId="14">'3월'!$B$2</definedName>
    <definedName name="열제목영역1..H12.3" localSheetId="15">'3월'!$B$2</definedName>
    <definedName name="열제목영역1..H12.3" localSheetId="4">'3월'!$B$2</definedName>
    <definedName name="열제목영역1..H12.3" localSheetId="16">'3월'!$B$2</definedName>
    <definedName name="열제목영역1..H12.3" localSheetId="17">'3월'!$B$2</definedName>
    <definedName name="열제목영역1..H12.3" localSheetId="18">'3월'!$B$2</definedName>
    <definedName name="열제목영역1..H12.3" localSheetId="8">#REF!</definedName>
    <definedName name="열제목영역1..H12.3">#REF!</definedName>
    <definedName name="열제목영역1..H12.4" localSheetId="19">'4월'!$B$2</definedName>
    <definedName name="열제목영역1..H12.4" localSheetId="20">'4월'!$B$2</definedName>
    <definedName name="열제목영역1..H12.4" localSheetId="21">'4월'!$B$2</definedName>
    <definedName name="열제목영역1..H12.4" localSheetId="14">'4월'!$B$2</definedName>
    <definedName name="열제목영역1..H12.4" localSheetId="15">'4월'!$B$2</definedName>
    <definedName name="열제목영역1..H12.4" localSheetId="4">'4월'!$B$2</definedName>
    <definedName name="열제목영역1..H12.4" localSheetId="16">'4월'!$B$2</definedName>
    <definedName name="열제목영역1..H12.4" localSheetId="17">'4월'!$B$2</definedName>
    <definedName name="열제목영역1..H12.4" localSheetId="18">'4월'!$B$2</definedName>
    <definedName name="열제목영역1..H12.4" localSheetId="8">#REF!</definedName>
    <definedName name="열제목영역1..H12.4">#REF!</definedName>
    <definedName name="열제목영역1..H12.5" localSheetId="19">'5월'!$B$2</definedName>
    <definedName name="열제목영역1..H12.5" localSheetId="20">'5월'!$B$2</definedName>
    <definedName name="열제목영역1..H12.5" localSheetId="21">'5월'!$B$2</definedName>
    <definedName name="열제목영역1..H12.5" localSheetId="15">'5월'!$B$2</definedName>
    <definedName name="열제목영역1..H12.5" localSheetId="4">'5월'!$B$2</definedName>
    <definedName name="열제목영역1..H12.5" localSheetId="16">'5월'!$B$2</definedName>
    <definedName name="열제목영역1..H12.5" localSheetId="17">'5월'!$B$2</definedName>
    <definedName name="열제목영역1..H12.5" localSheetId="18">'5월'!$B$2</definedName>
    <definedName name="열제목영역1..H12.5" localSheetId="8">#REF!</definedName>
    <definedName name="열제목영역1..H12.5">#REF!</definedName>
    <definedName name="열제목영역1..H12.6" localSheetId="19">'6월'!$B$2</definedName>
    <definedName name="열제목영역1..H12.6" localSheetId="20">'6월'!$B$2</definedName>
    <definedName name="열제목영역1..H12.6" localSheetId="21">'6월'!$B$2</definedName>
    <definedName name="열제목영역1..H12.6" localSheetId="4">'6월'!$B$2</definedName>
    <definedName name="열제목영역1..H12.6" localSheetId="16">'6월'!$B$2</definedName>
    <definedName name="열제목영역1..H12.6" localSheetId="17">'6월'!$B$2</definedName>
    <definedName name="열제목영역1..H12.6" localSheetId="18">'6월'!$B$2</definedName>
    <definedName name="열제목영역1..H12.6" localSheetId="8">#REF!</definedName>
    <definedName name="열제목영역1..H12.6">#REF!</definedName>
    <definedName name="열제목영역1..H12.7" localSheetId="19">'7월'!$B$2</definedName>
    <definedName name="열제목영역1..H12.7" localSheetId="20">'7월'!$B$2</definedName>
    <definedName name="열제목영역1..H12.7" localSheetId="21">'7월'!$B$2</definedName>
    <definedName name="열제목영역1..H12.7" localSheetId="16">'7월'!$B$2</definedName>
    <definedName name="열제목영역1..H12.7" localSheetId="17">'7월'!$B$2</definedName>
    <definedName name="열제목영역1..H12.7" localSheetId="18">'7월'!$B$2</definedName>
    <definedName name="열제목영역1..H12.7" localSheetId="8">#REF!</definedName>
    <definedName name="열제목영역1..H12.7">#REF!</definedName>
    <definedName name="열제목영역1..H12.8" localSheetId="19">'8월'!$B$2</definedName>
    <definedName name="열제목영역1..H12.8" localSheetId="20">'8월'!$B$2</definedName>
    <definedName name="열제목영역1..H12.8" localSheetId="21">'8월'!$B$2</definedName>
    <definedName name="열제목영역1..H12.8" localSheetId="17">'8월'!$B$2</definedName>
    <definedName name="열제목영역1..H12.8" localSheetId="18">'8월'!$B$2</definedName>
    <definedName name="열제목영역1..H12.8" localSheetId="8">#REF!</definedName>
    <definedName name="열제목영역1..H12.8">#REF!</definedName>
    <definedName name="열제목영역1..H12.9" localSheetId="19">'9월'!$B$2</definedName>
    <definedName name="열제목영역1..H12.9" localSheetId="20">'9월'!$B$2</definedName>
    <definedName name="열제목영역1..H12.9" localSheetId="21">'9월'!$B$2</definedName>
    <definedName name="열제목영역1..H12.9" localSheetId="18">'9월'!$B$2</definedName>
    <definedName name="열제목영역1..H12.9" localSheetId="8">#REF!</definedName>
    <definedName name="열제목영역1..H12.9">#REF!</definedName>
    <definedName name="열제목영역2..C14.1" localSheetId="11">'1월'!$B$2</definedName>
    <definedName name="열제목영역2..C14.1" localSheetId="8">#REF!</definedName>
    <definedName name="열제목영역2..C14.1">#REF!</definedName>
    <definedName name="열제목영역2..C14.10" localSheetId="19">'10월'!$B$2</definedName>
    <definedName name="열제목영역2..C14.10" localSheetId="20">'10월'!$B$2</definedName>
    <definedName name="열제목영역2..C14.10" localSheetId="21">'10월'!$B$2</definedName>
    <definedName name="열제목영역2..C14.10" localSheetId="8">#REF!</definedName>
    <definedName name="열제목영역2..C14.10">#REF!</definedName>
    <definedName name="열제목영역2..C14.11" localSheetId="20">'11월'!$B$2</definedName>
    <definedName name="열제목영역2..C14.11" localSheetId="21">'11월'!$B$2</definedName>
    <definedName name="열제목영역2..C14.11" localSheetId="8">#REF!</definedName>
    <definedName name="열제목영역2..C14.11">#REF!</definedName>
    <definedName name="열제목영역2..C14.12" localSheetId="21">'12월'!$B$2</definedName>
    <definedName name="열제목영역2..C14.12" localSheetId="8">#REF!</definedName>
    <definedName name="열제목영역2..C14.12">#REF!</definedName>
    <definedName name="열제목영역2..C14.2" localSheetId="19">'2월'!$B$2</definedName>
    <definedName name="열제목영역2..C14.2" localSheetId="20">'2월'!$B$2</definedName>
    <definedName name="열제목영역2..C14.2" localSheetId="21">'2월'!$B$2</definedName>
    <definedName name="열제목영역2..C14.2" localSheetId="12">'2월'!$B$2</definedName>
    <definedName name="열제목영역2..C14.2" localSheetId="13">'2월'!$B$2</definedName>
    <definedName name="열제목영역2..C14.2" localSheetId="14">'2월'!$B$2</definedName>
    <definedName name="열제목영역2..C14.2" localSheetId="15">'2월'!$B$2</definedName>
    <definedName name="열제목영역2..C14.2" localSheetId="4">'2월'!$B$2</definedName>
    <definedName name="열제목영역2..C14.2" localSheetId="16">'2월'!$B$2</definedName>
    <definedName name="열제목영역2..C14.2" localSheetId="17">'2월'!$B$2</definedName>
    <definedName name="열제목영역2..C14.2" localSheetId="18">'2월'!$B$2</definedName>
    <definedName name="열제목영역2..C14.2" localSheetId="8">#REF!</definedName>
    <definedName name="열제목영역2..C14.2">#REF!</definedName>
    <definedName name="열제목영역2..C14.3" localSheetId="19">'3월'!$B$2</definedName>
    <definedName name="열제목영역2..C14.3" localSheetId="20">'3월'!$B$2</definedName>
    <definedName name="열제목영역2..C14.3" localSheetId="21">'3월'!$B$2</definedName>
    <definedName name="열제목영역2..C14.3" localSheetId="13">'3월'!$B$2</definedName>
    <definedName name="열제목영역2..C14.3" localSheetId="14">'3월'!$B$2</definedName>
    <definedName name="열제목영역2..C14.3" localSheetId="15">'3월'!$B$2</definedName>
    <definedName name="열제목영역2..C14.3" localSheetId="4">'3월'!$B$2</definedName>
    <definedName name="열제목영역2..C14.3" localSheetId="16">'3월'!$B$2</definedName>
    <definedName name="열제목영역2..C14.3" localSheetId="17">'3월'!$B$2</definedName>
    <definedName name="열제목영역2..C14.3" localSheetId="18">'3월'!$B$2</definedName>
    <definedName name="열제목영역2..C14.3" localSheetId="8">#REF!</definedName>
    <definedName name="열제목영역2..C14.3">#REF!</definedName>
    <definedName name="열제목영역2..C14.4" localSheetId="19">'4월'!$B$2</definedName>
    <definedName name="열제목영역2..C14.4" localSheetId="20">'4월'!$B$2</definedName>
    <definedName name="열제목영역2..C14.4" localSheetId="21">'4월'!$B$2</definedName>
    <definedName name="열제목영역2..C14.4" localSheetId="14">'4월'!$B$2</definedName>
    <definedName name="열제목영역2..C14.4" localSheetId="15">'4월'!$B$2</definedName>
    <definedName name="열제목영역2..C14.4" localSheetId="4">'4월'!$B$2</definedName>
    <definedName name="열제목영역2..C14.4" localSheetId="16">'4월'!$B$2</definedName>
    <definedName name="열제목영역2..C14.4" localSheetId="17">'4월'!$B$2</definedName>
    <definedName name="열제목영역2..C14.4" localSheetId="18">'4월'!$B$2</definedName>
    <definedName name="열제목영역2..C14.4" localSheetId="8">#REF!</definedName>
    <definedName name="열제목영역2..C14.4">#REF!</definedName>
    <definedName name="열제목영역2..C14.5" localSheetId="19">'5월'!$B$2</definedName>
    <definedName name="열제목영역2..C14.5" localSheetId="20">'5월'!$B$2</definedName>
    <definedName name="열제목영역2..C14.5" localSheetId="21">'5월'!$B$2</definedName>
    <definedName name="열제목영역2..C14.5" localSheetId="15">'5월'!$B$2</definedName>
    <definedName name="열제목영역2..C14.5" localSheetId="4">'5월'!$B$2</definedName>
    <definedName name="열제목영역2..C14.5" localSheetId="16">'5월'!$B$2</definedName>
    <definedName name="열제목영역2..C14.5" localSheetId="17">'5월'!$B$2</definedName>
    <definedName name="열제목영역2..C14.5" localSheetId="18">'5월'!$B$2</definedName>
    <definedName name="열제목영역2..C14.5" localSheetId="8">#REF!</definedName>
    <definedName name="열제목영역2..C14.5">#REF!</definedName>
    <definedName name="열제목영역2..C14.6" localSheetId="19">'6월'!$B$2</definedName>
    <definedName name="열제목영역2..C14.6" localSheetId="20">'6월'!$B$2</definedName>
    <definedName name="열제목영역2..C14.6" localSheetId="21">'6월'!$B$2</definedName>
    <definedName name="열제목영역2..C14.6" localSheetId="4">'6월'!$B$2</definedName>
    <definedName name="열제목영역2..C14.6" localSheetId="16">'6월'!$B$2</definedName>
    <definedName name="열제목영역2..C14.6" localSheetId="17">'6월'!$B$2</definedName>
    <definedName name="열제목영역2..C14.6" localSheetId="18">'6월'!$B$2</definedName>
    <definedName name="열제목영역2..C14.6" localSheetId="8">#REF!</definedName>
    <definedName name="열제목영역2..C14.6">#REF!</definedName>
    <definedName name="열제목영역2..C14.7" localSheetId="19">'7월'!$B$2</definedName>
    <definedName name="열제목영역2..C14.7" localSheetId="20">'7월'!$B$2</definedName>
    <definedName name="열제목영역2..C14.7" localSheetId="21">'7월'!$B$2</definedName>
    <definedName name="열제목영역2..C14.7" localSheetId="16">'7월'!$B$2</definedName>
    <definedName name="열제목영역2..C14.7" localSheetId="17">'7월'!$B$2</definedName>
    <definedName name="열제목영역2..C14.7" localSheetId="18">'7월'!$B$2</definedName>
    <definedName name="열제목영역2..C14.7" localSheetId="8">#REF!</definedName>
    <definedName name="열제목영역2..C14.7">#REF!</definedName>
    <definedName name="열제목영역2..C14.8" localSheetId="19">'8월'!$B$2</definedName>
    <definedName name="열제목영역2..C14.8" localSheetId="20">'8월'!$B$2</definedName>
    <definedName name="열제목영역2..C14.8" localSheetId="21">'8월'!$B$2</definedName>
    <definedName name="열제목영역2..C14.8" localSheetId="17">'8월'!$B$2</definedName>
    <definedName name="열제목영역2..C14.8" localSheetId="18">'8월'!$B$2</definedName>
    <definedName name="열제목영역2..C14.8" localSheetId="8">#REF!</definedName>
    <definedName name="열제목영역2..C14.8">#REF!</definedName>
    <definedName name="열제목영역2..C14.9" localSheetId="19">'9월'!$B$2</definedName>
    <definedName name="열제목영역2..C14.9" localSheetId="20">'9월'!$B$2</definedName>
    <definedName name="열제목영역2..C14.9" localSheetId="21">'9월'!$B$2</definedName>
    <definedName name="열제목영역2..C14.9" localSheetId="18">'9월'!$B$2</definedName>
    <definedName name="열제목영역2..C14.9" localSheetId="8">#REF!</definedName>
    <definedName name="열제목영역2..C14.9">#REF!</definedName>
    <definedName name="요일및주" localSheetId="19">{0,1,2,3,4,5,6} + {0;1;2;3;4;5}*7</definedName>
    <definedName name="요일및주" localSheetId="20">{0,1,2,3,4,5,6} + {0;1;2;3;4;5}*7</definedName>
    <definedName name="요일및주" localSheetId="21">{0,1,2,3,4,5,6} + {0;1;2;3;4;5}*7</definedName>
    <definedName name="요일및주" localSheetId="11">{0,1,2,3,4,5,6} + {0;1;2;3;4;5}*7</definedName>
    <definedName name="요일및주" localSheetId="12">{0,1,2,3,4,5,6} + {0;1;2;3;4;5}*7</definedName>
    <definedName name="요일및주" localSheetId="13">{0,1,2,3,4,5,6} + {0;1;2;3;4;5}*7</definedName>
    <definedName name="요일및주" localSheetId="14">{0,1,2,3,4,5,6} + {0;1;2;3;4;5}*7</definedName>
    <definedName name="요일및주" localSheetId="15">{0,1,2,3,4,5,6} + {0;1;2;3;4;5}*7</definedName>
    <definedName name="요일및주" localSheetId="4">{0,1,2,3,4,5,6} + {0;1;2;3;4;5}*7</definedName>
    <definedName name="요일및주" localSheetId="16">{0,1,2,3,4,5,6} + {0;1;2;3;4;5}*7</definedName>
    <definedName name="요일및주" localSheetId="17">{0,1,2,3,4,5,6} + {0;1;2;3;4;5}*7</definedName>
    <definedName name="요일및주" localSheetId="18">{0,1,2,3,4,5,6} + {0;1;2;3;4;5}*7</definedName>
    <definedName name="요일및주">{0,1,2,3,4,5,6} + {0;1;2;3;4;5}*7</definedName>
    <definedName name="주시작" localSheetId="19">'[1]1월'!$K$3</definedName>
    <definedName name="주시작" localSheetId="20">'[1]1월'!$K$3</definedName>
    <definedName name="주시작" localSheetId="21">'[1]1월'!$K$3</definedName>
    <definedName name="주시작" localSheetId="11">'1월'!$K$3</definedName>
    <definedName name="주시작" localSheetId="12">'[1]1월'!$K$3</definedName>
    <definedName name="주시작" localSheetId="13">'[1]1월'!$K$3</definedName>
    <definedName name="주시작" localSheetId="14">'[1]1월'!$K$3</definedName>
    <definedName name="주시작" localSheetId="15">'[1]1월'!$K$3</definedName>
    <definedName name="주시작" localSheetId="4">'[1]1월'!$K$3</definedName>
    <definedName name="주시작" localSheetId="16">'[1]1월'!$K$3</definedName>
    <definedName name="주시작" localSheetId="17">'[1]1월'!$K$3</definedName>
    <definedName name="주시작" localSheetId="18">'[1]1월'!$K$3</definedName>
    <definedName name="주시작" localSheetId="8">#REF!</definedName>
    <definedName name="주시작">#REF!</definedName>
    <definedName name="행제목영역1..K3" localSheetId="11">'1월'!$J$2</definedName>
    <definedName name="행제목영역1..K3" localSheetId="8">#REF!</definedName>
    <definedName name="행제목영역1..K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48576" i="8" l="1"/>
  <c r="B1" i="35" l="1"/>
  <c r="B2" i="35"/>
  <c r="B3" i="35" a="1"/>
  <c r="B3" i="35" s="1"/>
  <c r="B5" i="35" a="1"/>
  <c r="F5" i="35" s="1"/>
  <c r="B7" i="35" a="1"/>
  <c r="B7" i="35" s="1"/>
  <c r="B9" i="35" a="1"/>
  <c r="D9" i="35" s="1"/>
  <c r="B11" i="35" a="1"/>
  <c r="H11" i="35" s="1"/>
  <c r="B13" i="35" a="1"/>
  <c r="C13" i="35" s="1"/>
  <c r="B1" i="34"/>
  <c r="B2" i="34"/>
  <c r="B3" i="34" a="1"/>
  <c r="H3" i="34" s="1"/>
  <c r="H2" i="34" s="1"/>
  <c r="B5" i="34" a="1"/>
  <c r="D5" i="34" s="1"/>
  <c r="B7" i="34" a="1"/>
  <c r="H7" i="34" s="1"/>
  <c r="B9" i="34" a="1"/>
  <c r="H9" i="34" s="1"/>
  <c r="B11" i="34" a="1"/>
  <c r="B11" i="34" s="1"/>
  <c r="B13" i="34" a="1"/>
  <c r="B13" i="34" s="1"/>
  <c r="B1" i="33"/>
  <c r="B2" i="33"/>
  <c r="B3" i="33" a="1"/>
  <c r="D3" i="33" s="1"/>
  <c r="D2" i="33" s="1"/>
  <c r="B5" i="33" a="1"/>
  <c r="E5" i="33" s="1"/>
  <c r="B7" i="33" a="1"/>
  <c r="B7" i="33" s="1"/>
  <c r="B9" i="33" a="1"/>
  <c r="H9" i="33" s="1"/>
  <c r="B11" i="33" a="1"/>
  <c r="F11" i="33" s="1"/>
  <c r="B13" i="33" a="1"/>
  <c r="B13" i="33" s="1"/>
  <c r="B1" i="32"/>
  <c r="B2" i="32"/>
  <c r="B3" i="32" a="1"/>
  <c r="G3" i="32" s="1"/>
  <c r="G2" i="32" s="1"/>
  <c r="B5" i="32" a="1"/>
  <c r="B5" i="32" s="1"/>
  <c r="B7" i="32" a="1"/>
  <c r="E7" i="32" s="1"/>
  <c r="B9" i="32" a="1"/>
  <c r="E9" i="32" s="1"/>
  <c r="B11" i="32" a="1"/>
  <c r="G11" i="32" s="1"/>
  <c r="B13" i="32" a="1"/>
  <c r="B13" i="32" s="1"/>
  <c r="B1" i="31"/>
  <c r="B2" i="31"/>
  <c r="B3" i="31" a="1"/>
  <c r="F3" i="31" s="1"/>
  <c r="F2" i="31" s="1"/>
  <c r="B5" i="31" a="1"/>
  <c r="G5" i="31" s="1"/>
  <c r="B7" i="31" a="1"/>
  <c r="C7" i="31" s="1"/>
  <c r="B9" i="31" a="1"/>
  <c r="H9" i="31" s="1"/>
  <c r="B11" i="31" a="1"/>
  <c r="C11" i="31" s="1"/>
  <c r="B13" i="31" a="1"/>
  <c r="B13" i="31" s="1"/>
  <c r="B1" i="30"/>
  <c r="B2" i="30"/>
  <c r="B3" i="30" a="1"/>
  <c r="B3" i="30" s="1"/>
  <c r="B5" i="30" a="1"/>
  <c r="D5" i="30" s="1"/>
  <c r="B7" i="30" a="1"/>
  <c r="C7" i="30" s="1"/>
  <c r="B9" i="30" a="1"/>
  <c r="H9" i="30" s="1"/>
  <c r="B11" i="30" a="1"/>
  <c r="H11" i="30" s="1"/>
  <c r="B13" i="30" a="1"/>
  <c r="C13" i="30" s="1"/>
  <c r="B1" i="29"/>
  <c r="B2" i="29"/>
  <c r="B3" i="29" a="1"/>
  <c r="B3" i="29" s="1"/>
  <c r="B5" i="29" a="1"/>
  <c r="H5" i="29" s="1"/>
  <c r="B7" i="29" a="1"/>
  <c r="C7" i="29" s="1"/>
  <c r="B9" i="29" a="1"/>
  <c r="F9" i="29" s="1"/>
  <c r="B11" i="29" a="1"/>
  <c r="F11" i="29" s="1"/>
  <c r="B13" i="29" a="1"/>
  <c r="C13" i="29" s="1"/>
  <c r="B1" i="28"/>
  <c r="B2" i="28"/>
  <c r="B3" i="28" a="1"/>
  <c r="E3" i="28" s="1"/>
  <c r="E2" i="28" s="1"/>
  <c r="B5" i="28" a="1"/>
  <c r="D5" i="28" s="1"/>
  <c r="B7" i="28" a="1"/>
  <c r="G7" i="28" s="1"/>
  <c r="B9" i="28" a="1"/>
  <c r="G9" i="28" s="1"/>
  <c r="B11" i="28" a="1"/>
  <c r="B11" i="28" s="1"/>
  <c r="B13" i="28" a="1"/>
  <c r="C13" i="28" s="1"/>
  <c r="B1" i="27"/>
  <c r="B2" i="27"/>
  <c r="B3" i="27" a="1"/>
  <c r="D3" i="27" s="1"/>
  <c r="D2" i="27" s="1"/>
  <c r="B5" i="27" a="1"/>
  <c r="D5" i="27" s="1"/>
  <c r="B7" i="27" a="1"/>
  <c r="F7" i="27" s="1"/>
  <c r="B9" i="27" a="1"/>
  <c r="H9" i="27" s="1"/>
  <c r="B11" i="27" a="1"/>
  <c r="E11" i="27" s="1"/>
  <c r="B13" i="27" a="1"/>
  <c r="B13" i="27" s="1"/>
  <c r="B1" i="26"/>
  <c r="B2" i="26"/>
  <c r="B3" i="26" a="1"/>
  <c r="G3" i="26" s="1"/>
  <c r="G2" i="26" s="1"/>
  <c r="B5" i="26" a="1"/>
  <c r="G5" i="26" s="1"/>
  <c r="B7" i="26" a="1"/>
  <c r="E7" i="26" s="1"/>
  <c r="B9" i="26" a="1"/>
  <c r="G9" i="26" s="1"/>
  <c r="B11" i="26" a="1"/>
  <c r="B11" i="26" s="1"/>
  <c r="B13" i="26" a="1"/>
  <c r="B13" i="26" s="1"/>
  <c r="B1" i="25"/>
  <c r="B2" i="25"/>
  <c r="B3" i="25" a="1"/>
  <c r="G3" i="25" s="1"/>
  <c r="G2" i="25" s="1"/>
  <c r="B5" i="25" a="1"/>
  <c r="B5" i="25" s="1"/>
  <c r="B7" i="25" a="1"/>
  <c r="G7" i="25" s="1"/>
  <c r="B9" i="25" a="1"/>
  <c r="B9" i="25" s="1"/>
  <c r="B11" i="25" a="1"/>
  <c r="B11" i="25" s="1"/>
  <c r="B13" i="25" a="1"/>
  <c r="C13" i="25" s="1"/>
  <c r="B1" i="24"/>
  <c r="B2" i="24"/>
  <c r="B3" i="24" a="1"/>
  <c r="G3" i="24" s="1"/>
  <c r="G2" i="24" s="1"/>
  <c r="B5" i="24" a="1"/>
  <c r="B5" i="24" s="1"/>
  <c r="B7" i="24" a="1"/>
  <c r="G7" i="24" s="1"/>
  <c r="B9" i="24" a="1"/>
  <c r="C9" i="24" s="1"/>
  <c r="B11" i="24" a="1"/>
  <c r="B11" i="24" s="1"/>
  <c r="B13" i="24" a="1"/>
  <c r="B13" i="24" s="1"/>
  <c r="E11" i="32" l="1"/>
  <c r="F11" i="30"/>
  <c r="C5" i="28"/>
  <c r="B5" i="28"/>
  <c r="G7" i="33"/>
  <c r="C7" i="28"/>
  <c r="B9" i="32"/>
  <c r="B7" i="30"/>
  <c r="E5" i="34"/>
  <c r="D9" i="33"/>
  <c r="F5" i="34"/>
  <c r="G7" i="35"/>
  <c r="C5" i="25"/>
  <c r="D5" i="25"/>
  <c r="C13" i="27"/>
  <c r="F7" i="28"/>
  <c r="D11" i="30"/>
  <c r="C9" i="30"/>
  <c r="G11" i="34"/>
  <c r="G5" i="30"/>
  <c r="C7" i="35"/>
  <c r="F5" i="30"/>
  <c r="D7" i="35"/>
  <c r="D3" i="30"/>
  <c r="D2" i="30" s="1"/>
  <c r="C5" i="33"/>
  <c r="B3" i="27"/>
  <c r="F11" i="24"/>
  <c r="H3" i="25"/>
  <c r="H2" i="25" s="1"/>
  <c r="F3" i="28"/>
  <c r="F2" i="28" s="1"/>
  <c r="G11" i="30"/>
  <c r="H3" i="27"/>
  <c r="H2" i="27" s="1"/>
  <c r="C5" i="32"/>
  <c r="H5" i="33"/>
  <c r="C11" i="32"/>
  <c r="H5" i="35"/>
  <c r="E3" i="34"/>
  <c r="E2" i="34" s="1"/>
  <c r="E5" i="29"/>
  <c r="C7" i="33"/>
  <c r="F3" i="34"/>
  <c r="F2" i="34" s="1"/>
  <c r="E9" i="33"/>
  <c r="B5" i="33"/>
  <c r="G5" i="29"/>
  <c r="H11" i="34"/>
  <c r="F11" i="32"/>
  <c r="G9" i="31"/>
  <c r="C3" i="30"/>
  <c r="C2" i="30" s="1"/>
  <c r="E11" i="34"/>
  <c r="C5" i="29"/>
  <c r="F5" i="29"/>
  <c r="D7" i="33"/>
  <c r="G5" i="35"/>
  <c r="D11" i="24"/>
  <c r="E5" i="25"/>
  <c r="G9" i="30"/>
  <c r="F3" i="27"/>
  <c r="F2" i="27" s="1"/>
  <c r="C7" i="26"/>
  <c r="H5" i="31"/>
  <c r="H7" i="35"/>
  <c r="D3" i="34"/>
  <c r="D2" i="34" s="1"/>
  <c r="B9" i="33"/>
  <c r="H11" i="32"/>
  <c r="E3" i="27"/>
  <c r="E2" i="27" s="1"/>
  <c r="G7" i="31"/>
  <c r="E7" i="35"/>
  <c r="D11" i="27"/>
  <c r="E3" i="33"/>
  <c r="E2" i="33" s="1"/>
  <c r="C11" i="35"/>
  <c r="C11" i="27"/>
  <c r="H9" i="25"/>
  <c r="D7" i="29"/>
  <c r="E9" i="27"/>
  <c r="C13" i="34"/>
  <c r="G11" i="35"/>
  <c r="G11" i="33"/>
  <c r="B11" i="29"/>
  <c r="B7" i="25"/>
  <c r="B3" i="33"/>
  <c r="D9" i="34"/>
  <c r="B9" i="30"/>
  <c r="F7" i="29"/>
  <c r="H11" i="31"/>
  <c r="C3" i="33"/>
  <c r="C2" i="33" s="1"/>
  <c r="C9" i="33"/>
  <c r="C9" i="31"/>
  <c r="F9" i="34"/>
  <c r="D7" i="32"/>
  <c r="D9" i="25"/>
  <c r="D11" i="33"/>
  <c r="D7" i="25"/>
  <c r="D11" i="29"/>
  <c r="E11" i="35"/>
  <c r="C11" i="26"/>
  <c r="E11" i="29"/>
  <c r="F9" i="30"/>
  <c r="H11" i="26"/>
  <c r="G11" i="31"/>
  <c r="F9" i="31"/>
  <c r="G7" i="27"/>
  <c r="B7" i="32"/>
  <c r="G11" i="27"/>
  <c r="D9" i="32"/>
  <c r="F11" i="34"/>
  <c r="D9" i="27"/>
  <c r="G11" i="24"/>
  <c r="C9" i="27"/>
  <c r="G3" i="27"/>
  <c r="G2" i="27" s="1"/>
  <c r="G9" i="34"/>
  <c r="F9" i="27"/>
  <c r="G9" i="27"/>
  <c r="H3" i="33"/>
  <c r="H2" i="33" s="1"/>
  <c r="C3" i="31"/>
  <c r="C2" i="31" s="1"/>
  <c r="B9" i="27"/>
  <c r="B11" i="33"/>
  <c r="C9" i="35"/>
  <c r="H3" i="24"/>
  <c r="H2" i="24" s="1"/>
  <c r="F9" i="33"/>
  <c r="F11" i="27"/>
  <c r="H11" i="24"/>
  <c r="H11" i="28"/>
  <c r="B13" i="30"/>
  <c r="G3" i="29"/>
  <c r="G2" i="29" s="1"/>
  <c r="H5" i="28"/>
  <c r="E3" i="26"/>
  <c r="E2" i="26" s="1"/>
  <c r="B11" i="27"/>
  <c r="C9" i="25"/>
  <c r="D11" i="31"/>
  <c r="B5" i="34"/>
  <c r="D3" i="29"/>
  <c r="D2" i="29" s="1"/>
  <c r="G7" i="34"/>
  <c r="E7" i="27"/>
  <c r="F3" i="29"/>
  <c r="F2" i="29" s="1"/>
  <c r="C3" i="27"/>
  <c r="C2" i="27" s="1"/>
  <c r="B7" i="34"/>
  <c r="H7" i="25"/>
  <c r="C13" i="32"/>
  <c r="E11" i="31"/>
  <c r="B9" i="34"/>
  <c r="H9" i="28"/>
  <c r="C5" i="34"/>
  <c r="B11" i="32"/>
  <c r="F7" i="35"/>
  <c r="C3" i="28"/>
  <c r="C2" i="28" s="1"/>
  <c r="F7" i="25"/>
  <c r="G9" i="25"/>
  <c r="D7" i="28"/>
  <c r="F11" i="31"/>
  <c r="C9" i="34"/>
  <c r="E7" i="34"/>
  <c r="E7" i="28"/>
  <c r="C3" i="29"/>
  <c r="C2" i="29" s="1"/>
  <c r="C11" i="25"/>
  <c r="G11" i="25"/>
  <c r="G3" i="28"/>
  <c r="G2" i="28" s="1"/>
  <c r="D7" i="30"/>
  <c r="G5" i="34"/>
  <c r="D11" i="32"/>
  <c r="B3" i="28"/>
  <c r="E5" i="35"/>
  <c r="H11" i="25"/>
  <c r="H7" i="28"/>
  <c r="F7" i="34"/>
  <c r="D7" i="34"/>
  <c r="H3" i="31"/>
  <c r="H2" i="31" s="1"/>
  <c r="B3" i="34"/>
  <c r="D3" i="26"/>
  <c r="D2" i="26" s="1"/>
  <c r="B13" i="28"/>
  <c r="H7" i="30"/>
  <c r="G5" i="32"/>
  <c r="H5" i="34"/>
  <c r="B13" i="25"/>
  <c r="C7" i="27"/>
  <c r="F11" i="26"/>
  <c r="D9" i="30"/>
  <c r="E9" i="30"/>
  <c r="D7" i="27"/>
  <c r="G3" i="30"/>
  <c r="G2" i="30" s="1"/>
  <c r="H3" i="30"/>
  <c r="H2" i="30" s="1"/>
  <c r="C3" i="32"/>
  <c r="C2" i="32" s="1"/>
  <c r="C5" i="26"/>
  <c r="B9" i="29"/>
  <c r="C5" i="31"/>
  <c r="G9" i="32"/>
  <c r="F7" i="32"/>
  <c r="C5" i="35"/>
  <c r="H5" i="24"/>
  <c r="H5" i="25"/>
  <c r="H7" i="27"/>
  <c r="D5" i="31"/>
  <c r="H9" i="26"/>
  <c r="C5" i="24"/>
  <c r="H7" i="31"/>
  <c r="H3" i="35"/>
  <c r="H2" i="35" s="1"/>
  <c r="E3" i="29"/>
  <c r="E2" i="29" s="1"/>
  <c r="C13" i="26"/>
  <c r="G7" i="29"/>
  <c r="F11" i="35"/>
  <c r="G9" i="24"/>
  <c r="D11" i="35"/>
  <c r="H9" i="24"/>
  <c r="E5" i="31"/>
  <c r="C13" i="33"/>
  <c r="E3" i="35"/>
  <c r="E2" i="35" s="1"/>
  <c r="D9" i="29"/>
  <c r="B7" i="27"/>
  <c r="F5" i="31"/>
  <c r="F5" i="33"/>
  <c r="C13" i="31"/>
  <c r="B11" i="35"/>
  <c r="E7" i="29"/>
  <c r="B7" i="31"/>
  <c r="F3" i="24"/>
  <c r="F2" i="24" s="1"/>
  <c r="C9" i="29"/>
  <c r="G7" i="30"/>
  <c r="G3" i="31"/>
  <c r="G2" i="31" s="1"/>
  <c r="G9" i="33"/>
  <c r="G3" i="35"/>
  <c r="G2" i="35" s="1"/>
  <c r="B3" i="32"/>
  <c r="G9" i="29"/>
  <c r="C9" i="26"/>
  <c r="E5" i="27"/>
  <c r="D3" i="32"/>
  <c r="D2" i="32" s="1"/>
  <c r="H5" i="27"/>
  <c r="C5" i="27"/>
  <c r="C13" i="24"/>
  <c r="F3" i="32"/>
  <c r="F2" i="32" s="1"/>
  <c r="C3" i="35"/>
  <c r="C2" i="35" s="1"/>
  <c r="D5" i="35"/>
  <c r="D9" i="28"/>
  <c r="F9" i="24"/>
  <c r="F5" i="25"/>
  <c r="D9" i="26"/>
  <c r="C11" i="28"/>
  <c r="H3" i="29"/>
  <c r="H2" i="29" s="1"/>
  <c r="F7" i="30"/>
  <c r="H3" i="32"/>
  <c r="H2" i="32" s="1"/>
  <c r="E3" i="32"/>
  <c r="E2" i="32" s="1"/>
  <c r="E9" i="24"/>
  <c r="F7" i="31"/>
  <c r="B9" i="26"/>
  <c r="G3" i="33"/>
  <c r="G2" i="33" s="1"/>
  <c r="B7" i="29"/>
  <c r="G5" i="24"/>
  <c r="G5" i="25"/>
  <c r="E9" i="26"/>
  <c r="E11" i="28"/>
  <c r="H7" i="29"/>
  <c r="B5" i="31"/>
  <c r="D3" i="35"/>
  <c r="D2" i="35" s="1"/>
  <c r="E9" i="25"/>
  <c r="D5" i="29"/>
  <c r="B11" i="31"/>
  <c r="B3" i="26"/>
  <c r="E9" i="34"/>
  <c r="B3" i="25"/>
  <c r="C7" i="34"/>
  <c r="G5" i="27"/>
  <c r="C11" i="24"/>
  <c r="E3" i="30"/>
  <c r="E2" i="30" s="1"/>
  <c r="C9" i="32"/>
  <c r="E7" i="33"/>
  <c r="B9" i="35"/>
  <c r="F3" i="25"/>
  <c r="F2" i="25" s="1"/>
  <c r="E5" i="28"/>
  <c r="B5" i="35"/>
  <c r="B11" i="30"/>
  <c r="D3" i="24"/>
  <c r="D2" i="24" s="1"/>
  <c r="F9" i="25"/>
  <c r="E11" i="26"/>
  <c r="H11" i="27"/>
  <c r="B5" i="29"/>
  <c r="E7" i="30"/>
  <c r="D7" i="31"/>
  <c r="G7" i="32"/>
  <c r="F9" i="32"/>
  <c r="F7" i="33"/>
  <c r="B13" i="35"/>
  <c r="C7" i="25"/>
  <c r="H11" i="33"/>
  <c r="F3" i="26"/>
  <c r="F2" i="26" s="1"/>
  <c r="E3" i="24"/>
  <c r="E2" i="24" s="1"/>
  <c r="E7" i="31"/>
  <c r="D5" i="32"/>
  <c r="H7" i="33"/>
  <c r="H9" i="32"/>
  <c r="E7" i="25"/>
  <c r="H3" i="26"/>
  <c r="H2" i="26" s="1"/>
  <c r="C3" i="26"/>
  <c r="C2" i="26" s="1"/>
  <c r="F3" i="33"/>
  <c r="F2" i="33" s="1"/>
  <c r="B5" i="27"/>
  <c r="E11" i="24"/>
  <c r="F11" i="25"/>
  <c r="F5" i="27"/>
  <c r="F11" i="28"/>
  <c r="E9" i="29"/>
  <c r="F3" i="30"/>
  <c r="F2" i="30" s="1"/>
  <c r="C7" i="32"/>
  <c r="E5" i="32"/>
  <c r="F5" i="32"/>
  <c r="G9" i="35"/>
  <c r="G7" i="26"/>
  <c r="E3" i="25"/>
  <c r="E2" i="25" s="1"/>
  <c r="C3" i="34"/>
  <c r="C2" i="34" s="1"/>
  <c r="D9" i="24"/>
  <c r="C3" i="25"/>
  <c r="C2" i="25" s="1"/>
  <c r="E5" i="26"/>
  <c r="G3" i="34"/>
  <c r="G2" i="34" s="1"/>
  <c r="F5" i="24"/>
  <c r="G11" i="28"/>
  <c r="H5" i="30"/>
  <c r="E11" i="33"/>
  <c r="E9" i="35"/>
  <c r="D5" i="26"/>
  <c r="B5" i="30"/>
  <c r="H9" i="29"/>
  <c r="D5" i="24"/>
  <c r="D7" i="24"/>
  <c r="H7" i="24"/>
  <c r="F7" i="26"/>
  <c r="D3" i="28"/>
  <c r="D2" i="28" s="1"/>
  <c r="E5" i="30"/>
  <c r="D3" i="31"/>
  <c r="D2" i="31" s="1"/>
  <c r="E9" i="31"/>
  <c r="D5" i="33"/>
  <c r="B9" i="24"/>
  <c r="F9" i="26"/>
  <c r="B7" i="28"/>
  <c r="C5" i="30"/>
  <c r="E5" i="24"/>
  <c r="D11" i="25"/>
  <c r="D11" i="28"/>
  <c r="E3" i="31"/>
  <c r="E2" i="31" s="1"/>
  <c r="G5" i="33"/>
  <c r="C11" i="34"/>
  <c r="B7" i="24"/>
  <c r="B7" i="26"/>
  <c r="F5" i="28"/>
  <c r="B3" i="31"/>
  <c r="E7" i="24"/>
  <c r="G11" i="26"/>
  <c r="H3" i="28"/>
  <c r="H2" i="28" s="1"/>
  <c r="D11" i="34"/>
  <c r="H9" i="35"/>
  <c r="B5" i="26"/>
  <c r="H7" i="26"/>
  <c r="H5" i="26"/>
  <c r="B3" i="24"/>
  <c r="F9" i="35"/>
  <c r="F7" i="24"/>
  <c r="E11" i="30"/>
  <c r="F3" i="35"/>
  <c r="F2" i="35" s="1"/>
  <c r="D3" i="25"/>
  <c r="D2" i="25" s="1"/>
  <c r="D11" i="26"/>
  <c r="C11" i="33"/>
  <c r="B13" i="29"/>
  <c r="D7" i="26"/>
  <c r="C3" i="24"/>
  <c r="C2" i="24" s="1"/>
  <c r="C11" i="29"/>
  <c r="F5" i="26"/>
  <c r="D9" i="31"/>
  <c r="C11" i="30"/>
  <c r="C7" i="24"/>
  <c r="E9" i="28"/>
  <c r="B9" i="28"/>
  <c r="B9" i="31"/>
  <c r="H7" i="32"/>
  <c r="E11" i="25"/>
  <c r="H11" i="29"/>
  <c r="G11" i="29"/>
  <c r="G5" i="28"/>
  <c r="C9" i="28"/>
  <c r="F9" i="28"/>
  <c r="H5"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tc={38B3ADAF-E2DA-4740-A65E-B87D7EEE3C2F}</author>
  </authors>
  <commentList>
    <comment ref="A1" authorId="0" shapeId="0" xr:uid="{A44DF4E4-8248-4DD5-B9D4-DC07DE03F264}">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년도월일-일련번호</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tc={1BF2E561-E06A-F14A-971E-7D5437F47E21}</author>
  </authors>
  <commentList>
    <comment ref="L2" authorId="0" shapeId="0" xr:uid="{1BF2E561-E06A-F14A-971E-7D5437F47E21}">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월/격월/분기/반기/Call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tc={1BF2E561-E06A-F14B-971E-7D5437F47E21}</author>
  </authors>
  <commentList>
    <comment ref="K2" authorId="0" shapeId="0" xr:uid="{7E7B1F46-62B7-4EA5-BB62-3FFFB2315538}">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월/격월/분기/반기/Call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tc={1BF2E561-E06A-F14C-971E-7D5437F47E21}</author>
  </authors>
  <commentList>
    <comment ref="K2" authorId="0" shapeId="0" xr:uid="{A890F5F0-0D54-4803-8DB9-B5154ED3DD49}">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월/격월/분기/반기/Call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tc={7779CBAB-4096-7E42-8B80-3EC7407D7E8A}</author>
    <author>tc={9296F8EA-E47A-E24E-8125-3CD2F504F8B2}</author>
  </authors>
  <commentList>
    <comment ref="M2" authorId="0" shapeId="0" xr:uid="{7779CBAB-4096-7E42-8B80-3EC7407D7E8A}">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월/격월/분기/반기/Call</t>
        </r>
      </text>
    </comment>
    <comment ref="N2" authorId="1" shapeId="0" xr:uid="{9296F8EA-E47A-E24E-8125-3CD2F504F8B2}">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유상/무상/미계약/미사용/철수</t>
        </r>
      </text>
    </comment>
  </commentList>
</comments>
</file>

<file path=xl/sharedStrings.xml><?xml version="1.0" encoding="utf-8"?>
<sst xmlns="http://schemas.openxmlformats.org/spreadsheetml/2006/main" count="10080" uniqueCount="2477">
  <si>
    <t>번호</t>
  </si>
  <si>
    <t>일시</t>
    <phoneticPr fontId="11" type="noConversion"/>
  </si>
  <si>
    <t>고객</t>
    <phoneticPr fontId="11" type="noConversion"/>
  </si>
  <si>
    <t>고객담당자</t>
    <phoneticPr fontId="11" type="noConversion"/>
  </si>
  <si>
    <t>모델명</t>
  </si>
  <si>
    <t>장비위치</t>
    <phoneticPr fontId="11" type="noConversion"/>
  </si>
  <si>
    <t>유/무상</t>
    <phoneticPr fontId="11" type="noConversion"/>
  </si>
  <si>
    <t>접수내용</t>
    <phoneticPr fontId="11" type="noConversion"/>
  </si>
  <si>
    <t>처리내용</t>
    <phoneticPr fontId="11" type="noConversion"/>
  </si>
  <si>
    <t>진행 여부</t>
    <phoneticPr fontId="11" type="noConversion"/>
  </si>
  <si>
    <t>한국기술교육대학교</t>
    <phoneticPr fontId="11" type="noConversion"/>
  </si>
  <si>
    <t>엄혜진</t>
    <phoneticPr fontId="11" type="noConversion"/>
  </si>
  <si>
    <t>300H</t>
    <phoneticPr fontId="11" type="noConversion"/>
  </si>
  <si>
    <t>1층</t>
    <phoneticPr fontId="11" type="noConversion"/>
  </si>
  <si>
    <t>유상</t>
    <phoneticPr fontId="11" type="noConversion"/>
  </si>
  <si>
    <t xml:space="preserve"> * 12월 유지보수 방문</t>
    <phoneticPr fontId="11" type="noConversion"/>
  </si>
  <si>
    <t xml:space="preserve"> * 유지보수 방문 / 양기헌
  → 로비1층 오른쪽 장비 OBS 센서 오류로 인한 도어가 동작을 안하는 증상 확인.
  → 센서 연결 케이블 재결합 후 정상작동 확인.
  → 오링 교체.
  → 1월 점검간 후문 방풀실 장비 오링 교체 필요.</t>
    <phoneticPr fontId="11" type="noConversion"/>
  </si>
  <si>
    <t>완료</t>
    <phoneticPr fontId="11" type="noConversion"/>
  </si>
  <si>
    <t>국립세종도서관</t>
    <phoneticPr fontId="11" type="noConversion"/>
  </si>
  <si>
    <t>윤승호</t>
    <phoneticPr fontId="11" type="noConversion"/>
  </si>
  <si>
    <t>9110HRS</t>
    <phoneticPr fontId="11" type="noConversion"/>
  </si>
  <si>
    <t xml:space="preserve"> * 유선 접수 / 양기헌
  → 11번 슬롯이 잘 안움직인다고 함.</t>
    <phoneticPr fontId="11" type="noConversion"/>
  </si>
  <si>
    <t xml:space="preserve"> * 방문 / 양기헌
  → 11번 슬롯 솔레노이드 교체. 정상작동 확인.</t>
    <phoneticPr fontId="11" type="noConversion"/>
  </si>
  <si>
    <t>KDI 국제정책대학원</t>
    <phoneticPr fontId="11" type="noConversion"/>
  </si>
  <si>
    <t>배은주</t>
    <phoneticPr fontId="11" type="noConversion"/>
  </si>
  <si>
    <t>920SG</t>
    <phoneticPr fontId="11" type="noConversion"/>
  </si>
  <si>
    <t>2층</t>
    <phoneticPr fontId="11" type="noConversion"/>
  </si>
  <si>
    <t xml:space="preserve"> * 유지보수 방문 / 양기헌
  → 특이사항 없음.</t>
    <phoneticPr fontId="11" type="noConversion"/>
  </si>
  <si>
    <t>소담동 도서관</t>
    <phoneticPr fontId="11" type="noConversion"/>
  </si>
  <si>
    <t>노수원</t>
    <phoneticPr fontId="11" type="noConversion"/>
  </si>
  <si>
    <t>장비 전체</t>
    <phoneticPr fontId="11" type="noConversion"/>
  </si>
  <si>
    <t>건물 전체</t>
    <phoneticPr fontId="11" type="noConversion"/>
  </si>
  <si>
    <t xml:space="preserve"> * 유지보수 방문 / 양기헌
  → 230RS가 간헐적으로 컴제로컴이 꼬임. 프린터는 몇차례 교체한 이력 있음. 
  → 4층 분실방지기 위쪽 중앙부가 인식범위에 안들어오는 경우가 있음. 필요시 상시로 변경.</t>
    <phoneticPr fontId="11" type="noConversion"/>
  </si>
  <si>
    <t>보람동 도서관</t>
    <phoneticPr fontId="11" type="noConversion"/>
  </si>
  <si>
    <t>구채영</t>
    <phoneticPr fontId="11" type="noConversion"/>
  </si>
  <si>
    <t>나성동 도서관</t>
    <phoneticPr fontId="11" type="noConversion"/>
  </si>
  <si>
    <t>박선주</t>
    <phoneticPr fontId="11" type="noConversion"/>
  </si>
  <si>
    <t>남부평생교육원</t>
    <phoneticPr fontId="11" type="noConversion"/>
  </si>
  <si>
    <t>김현서</t>
    <phoneticPr fontId="11" type="noConversion"/>
  </si>
  <si>
    <t>3110HRS</t>
    <phoneticPr fontId="11" type="noConversion"/>
  </si>
  <si>
    <t>1층 방풍실</t>
    <phoneticPr fontId="11" type="noConversion"/>
  </si>
  <si>
    <t xml:space="preserve"> * 유선 접수 / 양기헌
  → 12.1에 도서 반납이 안되었다고 함.
  → 해당 도서(EMC000117753)는 라스상에서 반납처리 되었다고 하며 시간은 확인 안됨.
  → 반납처리중입니다라는 메시지가 나왔다고 하며 다음 이용자가 이용하지 못했다고 함.</t>
    <phoneticPr fontId="11" type="noConversion"/>
  </si>
  <si>
    <t xml:space="preserve"> * 유선 안내 / 양기헌
  → 12월 정기 점검간 확인 예정 안내.
 * 12.12 내역 참고. 완료 처리.</t>
    <phoneticPr fontId="11" type="noConversion"/>
  </si>
  <si>
    <t>은행나무길 스마트도서관</t>
    <phoneticPr fontId="11" type="noConversion"/>
  </si>
  <si>
    <t>이일중</t>
    <phoneticPr fontId="11" type="noConversion"/>
  </si>
  <si>
    <t>950SL</t>
    <phoneticPr fontId="11" type="noConversion"/>
  </si>
  <si>
    <t>은행나무길 외부 부스</t>
    <phoneticPr fontId="11" type="noConversion"/>
  </si>
  <si>
    <t xml:space="preserve"> * 유선 접수 / 양기헌
  → 장비 네트워크 연결이 안되고 있다고 함.</t>
    <phoneticPr fontId="11" type="noConversion"/>
  </si>
  <si>
    <t xml:space="preserve"> * 유선 안내 / 양기헌
  → 12월 첫주중에 방문 예정 안내.
 * 12.11 내역 참고. 완료 처리.</t>
    <phoneticPr fontId="11" type="noConversion"/>
  </si>
  <si>
    <t>국방대학교</t>
    <phoneticPr fontId="11" type="noConversion"/>
  </si>
  <si>
    <t>유선혜</t>
    <phoneticPr fontId="11" type="noConversion"/>
  </si>
  <si>
    <t>2550HSC</t>
    <phoneticPr fontId="11" type="noConversion"/>
  </si>
  <si>
    <t>3층 정문</t>
    <phoneticPr fontId="11" type="noConversion"/>
  </si>
  <si>
    <t>무상</t>
    <phoneticPr fontId="11" type="noConversion"/>
  </si>
  <si>
    <t xml:space="preserve"> * 유선 접수 / 양기헌
  → 탁스 로그인 시도시 탁스 프로그램이 반응이 없다고 함.
  → 다른 장비들은 탁스 실행 및 로그인되며, 해당 장비에 로그인하려고 했던 탁스 계정을 다른 장비에서 로그인 시도할 경우 로그인이 된다고 함.</t>
    <phoneticPr fontId="11" type="noConversion"/>
  </si>
  <si>
    <t xml:space="preserve"> * 유선 안내 / 양기헌
  → 12.18 오전 방문 예정 안내.
 * 12.18 내역 참고. 완료 처리.</t>
    <phoneticPr fontId="11" type="noConversion"/>
  </si>
  <si>
    <t>성거도서관</t>
    <phoneticPr fontId="11" type="noConversion"/>
  </si>
  <si>
    <t>이민경</t>
    <phoneticPr fontId="11" type="noConversion"/>
  </si>
  <si>
    <t>2510HSC</t>
    <phoneticPr fontId="11" type="noConversion"/>
  </si>
  <si>
    <t>1층 로비</t>
    <phoneticPr fontId="11" type="noConversion"/>
  </si>
  <si>
    <t xml:space="preserve"> * 11월 정기 유지보수 점검</t>
    <phoneticPr fontId="11" type="noConversion"/>
  </si>
  <si>
    <t>쌍용도서관</t>
    <phoneticPr fontId="11" type="noConversion"/>
  </si>
  <si>
    <t>남경은</t>
    <phoneticPr fontId="11" type="noConversion"/>
  </si>
  <si>
    <t xml:space="preserve"> * 유지보수 방문 / 양기헌
  → 스마트로봇 직산도서관으로 이전 설치(나이콤 김유정 과장)
  → 1층 어린이자료실 데스크 PC를 로봇 관리자PC로 지정. 해당 PC는 이용자망으로 VPN 설치 필요. 중앙도서관 전산담당자 승인하에 VPN 업체로부터 설치 매뉴얼 받아야함.
  → 보안확약서 제출 및 보안서약서 작성 후 담당자(황보송 주무관) 주관하에 보안교육 사진 촬영</t>
    <phoneticPr fontId="11" type="noConversion"/>
  </si>
  <si>
    <t>직산도서관</t>
    <phoneticPr fontId="11" type="noConversion"/>
  </si>
  <si>
    <t>원남경</t>
    <phoneticPr fontId="11" type="noConversion"/>
  </si>
  <si>
    <t>스마트로봇</t>
    <phoneticPr fontId="11" type="noConversion"/>
  </si>
  <si>
    <t xml:space="preserve"> * 스마트로봇 설치
  → 스마트로봇 쌍용도서관으로 부터 이전 설치(나이콤 김유정 과장)
  → 1층 어린이자료실 데스크 PC를 로봇 관리자PC로 지정. 해당 PC는 이용자망으로 VPN 설치 필요. 중앙도서관 전산담당자 승인하에 VPN 업체로부터 설치 매뉴얼 받아야함.</t>
    <phoneticPr fontId="11" type="noConversion"/>
  </si>
  <si>
    <t xml:space="preserve"> * 방문 / 나이콤 김유정 과장
  → 관리자 PC 셋팅 후 로봇 맵핑.
 * 통화(12.10) / 나이콤 안상훈 부장
  → 12월 셋째주에 장비 서버 및 모든 기능 셋팅 예정.
  → 이후 총판 및 기관 담당자 교육 예정.
 * 12.17 내역 참고. 완료 처리. </t>
    <phoneticPr fontId="11" type="noConversion"/>
  </si>
  <si>
    <t>아산도서관</t>
    <phoneticPr fontId="11" type="noConversion"/>
  </si>
  <si>
    <t>백인솔</t>
    <phoneticPr fontId="11" type="noConversion"/>
  </si>
  <si>
    <t>910SB</t>
    <phoneticPr fontId="11" type="noConversion"/>
  </si>
  <si>
    <t>Call</t>
    <phoneticPr fontId="11" type="noConversion"/>
  </si>
  <si>
    <t xml:space="preserve"> * 유선 접수 / 양기헌
  → 스마트서가 위치 이동 요청.</t>
    <phoneticPr fontId="11" type="noConversion"/>
  </si>
  <si>
    <t xml:space="preserve"> * 방문 / 양기헌, 최혜경
  → 어린이자료실 내 스마트서가 위치 이동.
  → 우측면 바닥 높이가 맞지 않음.
  → 천장에서 나온 메인 랜선(파랑) 불량으로 바닥 단자 랜포트 사용. 링캠 자대기 2대와 스위치 허브(링캠꺼)로 연결됨.</t>
    <phoneticPr fontId="11" type="noConversion"/>
  </si>
  <si>
    <t>세종시립도서관</t>
    <phoneticPr fontId="11" type="noConversion"/>
  </si>
  <si>
    <t>이경재</t>
    <phoneticPr fontId="11" type="noConversion"/>
  </si>
  <si>
    <t xml:space="preserve"> * 12월 정기 유지보수 점검</t>
    <phoneticPr fontId="11" type="noConversion"/>
  </si>
  <si>
    <r>
      <t xml:space="preserve"> * 유지보수 방문 / 양기헌
  → 중앙공원 장비 옆에 간이 도서 반납함 비치.
  → </t>
    </r>
    <r>
      <rPr>
        <sz val="10"/>
        <rFont val="맑은 고딕"/>
        <family val="3"/>
        <charset val="129"/>
      </rPr>
      <t>1월 점검간에 1층 독통 리본 교체 필요.</t>
    </r>
    <r>
      <rPr>
        <sz val="10"/>
        <color rgb="FF000000"/>
        <rFont val="맑은 고딕"/>
        <family val="3"/>
        <charset val="129"/>
      </rPr>
      <t xml:space="preserve">
 * 12.18 내역 참고.</t>
    </r>
    <phoneticPr fontId="11" type="noConversion"/>
  </si>
  <si>
    <t>단국대학교</t>
    <phoneticPr fontId="11" type="noConversion"/>
  </si>
  <si>
    <t>한명숙</t>
    <phoneticPr fontId="11" type="noConversion"/>
  </si>
  <si>
    <t>3300R</t>
    <phoneticPr fontId="11" type="noConversion"/>
  </si>
  <si>
    <t>도솔도서관</t>
    <phoneticPr fontId="11" type="noConversion"/>
  </si>
  <si>
    <t>김응규</t>
    <phoneticPr fontId="11" type="noConversion"/>
  </si>
  <si>
    <t>조치원복컴 도서관</t>
    <phoneticPr fontId="11" type="noConversion"/>
  </si>
  <si>
    <t>김혜수</t>
    <phoneticPr fontId="11" type="noConversion"/>
  </si>
  <si>
    <t>2층 야외</t>
    <phoneticPr fontId="11" type="noConversion"/>
  </si>
  <si>
    <t xml:space="preserve"> * 단순 점검</t>
    <phoneticPr fontId="11" type="noConversion"/>
  </si>
  <si>
    <t xml:space="preserve"> * 방문 / 양기헌
  → 특이사항 없음.</t>
    <phoneticPr fontId="11" type="noConversion"/>
  </si>
  <si>
    <t>홍익대_세종</t>
    <phoneticPr fontId="11" type="noConversion"/>
  </si>
  <si>
    <t>신수현</t>
    <phoneticPr fontId="11" type="noConversion"/>
  </si>
  <si>
    <t>A교사동 1층</t>
    <phoneticPr fontId="11" type="noConversion"/>
  </si>
  <si>
    <t>순천향대학교</t>
    <phoneticPr fontId="11" type="noConversion"/>
  </si>
  <si>
    <t>허성회</t>
    <phoneticPr fontId="11" type="noConversion"/>
  </si>
  <si>
    <t>자가대출반납기</t>
    <phoneticPr fontId="11" type="noConversion"/>
  </si>
  <si>
    <t>3층, 4층</t>
    <phoneticPr fontId="11" type="noConversion"/>
  </si>
  <si>
    <t xml:space="preserve"> * 유지보수 방문 / 양기헌
  → 4층 장비에서 윈도우 시간이 맞이 않음. 수동으로 변경 후 모니터링 안내.</t>
    <phoneticPr fontId="11" type="noConversion"/>
  </si>
  <si>
    <t>김기균</t>
    <phoneticPr fontId="11" type="noConversion"/>
  </si>
  <si>
    <t xml:space="preserve"> * 유지보수 방문 / 양기헌
  → 장비 VPN 문제로 현재 장비 미운영중이라고 함. VPN 장비 부품 수급 지연으로 12월 말에 조치 예정이라고 함. 조치 이후 접수 안내.</t>
    <phoneticPr fontId="11" type="noConversion"/>
  </si>
  <si>
    <t>아산중앙도서관</t>
    <phoneticPr fontId="11" type="noConversion"/>
  </si>
  <si>
    <t>1500S</t>
    <phoneticPr fontId="11" type="noConversion"/>
  </si>
  <si>
    <t>2층, 3층</t>
    <phoneticPr fontId="11" type="noConversion"/>
  </si>
  <si>
    <t>천안중앙도서관</t>
    <phoneticPr fontId="11" type="noConversion"/>
  </si>
  <si>
    <t>도혜빈</t>
    <phoneticPr fontId="11" type="noConversion"/>
  </si>
  <si>
    <t xml:space="preserve"> * 11.27 내역 참고.</t>
    <phoneticPr fontId="11" type="noConversion"/>
  </si>
  <si>
    <t xml:space="preserve"> * 방문 / 양기헌
  → 2320 / CMOS 시작 시간 변경(08:50), AT모드 점퍼 재결합.
  → 3120 / 타관도서 반납 가능 설정(신혜연 과장). 타관도서는 디폴트 적재함으로 떨어짐.
 * 10.4 내역 참고
  → 3120 / 공휴일에도 반납기능되도록 파일 수정(연구소)</t>
    <phoneticPr fontId="11" type="noConversion"/>
  </si>
  <si>
    <t>윤예진</t>
    <phoneticPr fontId="11" type="noConversion"/>
  </si>
  <si>
    <t xml:space="preserve"> * 유선 접수 / 양기헌
  → 자가대출반납기(1, 2층)에서 타관도서 10권 이상 대출 후 자관에서 대출할 경우 대출권수 초과로 나와서 문의</t>
    <phoneticPr fontId="11" type="noConversion"/>
  </si>
  <si>
    <t xml:space="preserve"> * 유선 안내 / 양기헌
  → 포트 허용 신청 요청.
  → 포트 열릴 경우 12.12 오후 방문 예정 안내.
 * 방문(12.12) / 양기헌
  → 반납 예정일 안맞는 증상 조치(이정중 과장)
  → 자가대출반납기 및 로봇 포함 천안시 공공도서관에 납품된 2320, 2550, 2560은 프로그램에 이슈로 연구소 수정 필요(이정중 과장)
  → 대상 장비: 쌍용(2550 1대), 두정(2320 1대), 직산(2320, 2560, 0920 각각 1대)
  → 12.13 연구소 답신 오면 추가 작업 예정 안내.
 * 12.13 방문 / 양기헌
  → 자가대출반납기 / 타관도서 대출초과 적용 안되도록 파일 수정(송선아 과장)
  → 2320 / 확인증 이용자 이름 마스킹 설정
  → 12.17.(화)에 천안중앙 서버실로 나이콤 노학주 차장 방문하여 작업할 예정. 중앙도서관 송민수 주무관 일정 협의 필요. 확인 후 노학주 차장, 김유정 과장에게 일정 전달 후 협의 필요
 * 12.16 통화(송민수 주무관)
  → 12.17.(화) 오전에 중앙도서관 서버실 출입 예정(10:00)
  → 서버실에는 노학주 차장이 위치. 직산에는 김유정 과장 위치 예정.
 * 12.17 내역 참고. 완료 처리.</t>
    <phoneticPr fontId="11" type="noConversion"/>
  </si>
  <si>
    <t>논산열린도서관</t>
    <phoneticPr fontId="11" type="noConversion"/>
  </si>
  <si>
    <t>권범민</t>
    <phoneticPr fontId="11" type="noConversion"/>
  </si>
  <si>
    <t>310S</t>
    <phoneticPr fontId="11" type="noConversion"/>
  </si>
  <si>
    <t xml:space="preserve"> * 12월 정기 유지보수 점검
  → 12.2 내역 참고</t>
    <phoneticPr fontId="11" type="noConversion"/>
  </si>
  <si>
    <r>
      <t xml:space="preserve"> * 유지보수 방문 / 양기헌
  → EMC000117753 해당도서 반납처리 로그 확인.
  → 해당도서 이용자가 도서를 투입하고 나서 프로그램이 반납중으로 계속 로딩중이었거나 멈추었던것 같음.
  → 방화벽 및 포트 허용 공문 발송 요청(김현서 주무관). 포트 허용될 경우 12.16 방문 예정 안내.
 * 12.13 통화(김현서 주무관)
  → </t>
    </r>
    <r>
      <rPr>
        <sz val="10"/>
        <color rgb="FFFF0000"/>
        <rFont val="맑은 고딕"/>
        <family val="3"/>
        <charset val="129"/>
      </rPr>
      <t>12.16 포트허용 불가로 추후 일정 협의 후 신청 예정.</t>
    </r>
    <phoneticPr fontId="11" type="noConversion"/>
  </si>
  <si>
    <t>아산온담작은도서관</t>
    <phoneticPr fontId="11" type="noConversion"/>
  </si>
  <si>
    <t>강미현</t>
    <phoneticPr fontId="11" type="noConversion"/>
  </si>
  <si>
    <t>납품 예정</t>
    <phoneticPr fontId="11" type="noConversion"/>
  </si>
  <si>
    <t xml:space="preserve"> * 납품 예정</t>
    <phoneticPr fontId="11" type="noConversion"/>
  </si>
  <si>
    <t xml:space="preserve"> * 통화(나이콤 김신호 차장)
  → 12.16 09:30 장비 납품 예정.
 * 통화(강미현 주무관)
  → 납품 예정일 사전 검수 요청. 12.11 기준으로 납품서 및 사진대지 요청.
  → 장비 납품전 12.13에 현장점검 예정 안내.
 * 12.13 납품 전 현장 점검
  → 도서관(2층) / 시설 공사중. 분실방지기 전원 선로 작업 업체(이레시스템 / 010-4762-9691)와 장비 납품 일정 맞추어 동시 작업 진행 예정.
 * 12.19 내역 참고. 완료 처리.</t>
    <phoneticPr fontId="11" type="noConversion"/>
  </si>
  <si>
    <t>서산시립도서관</t>
    <phoneticPr fontId="11" type="noConversion"/>
  </si>
  <si>
    <t>안효준</t>
    <phoneticPr fontId="11" type="noConversion"/>
  </si>
  <si>
    <t xml:space="preserve"> * 유지보수 방문 / 양기헌
  → 특이사항 없음.
  → 구형 좌석발급기(1500S)는 25년 상반기에 교체 예정이라고 함.</t>
    <phoneticPr fontId="11" type="noConversion"/>
  </si>
  <si>
    <t>당진중앙도서관</t>
    <phoneticPr fontId="11" type="noConversion"/>
  </si>
  <si>
    <t>김지은</t>
    <phoneticPr fontId="11" type="noConversion"/>
  </si>
  <si>
    <t>신성대 기숙사</t>
    <phoneticPr fontId="11" type="noConversion"/>
  </si>
  <si>
    <t>성헌경</t>
    <phoneticPr fontId="11" type="noConversion"/>
  </si>
  <si>
    <t>로봇</t>
    <phoneticPr fontId="11" type="noConversion"/>
  </si>
  <si>
    <t xml:space="preserve"> * 12.11 내역 참고.</t>
    <phoneticPr fontId="11" type="noConversion"/>
  </si>
  <si>
    <r>
      <t xml:space="preserve"> * 방문 / 양기헌, 나이콤 노학주 차장, 나이콤 김유정 과장
  → 로봇 서버 프로그램 업데이트 및 개선 작업(노학주 차장). </t>
    </r>
    <r>
      <rPr>
        <sz val="10"/>
        <color rgb="FFFF0000"/>
        <rFont val="맑은 고딕"/>
        <family val="3"/>
        <charset val="129"/>
      </rPr>
      <t>1월 중순이후 관리자 프로그램 개선 작업 예정. 중앙도서관으로 거쳐서 서버작업이 이루어질 필요 없도록 추가로 작업이 필요없도록 1월 중에 중앙도서관 서버실 들어갈수도 있다고 함(노학주 차장)</t>
    </r>
    <r>
      <rPr>
        <sz val="10"/>
        <color rgb="FF000000"/>
        <rFont val="맑은 고딕"/>
        <family val="3"/>
        <charset val="129"/>
      </rPr>
      <t xml:space="preserve">
  → 로봇 관리자 이용 교육(김유정 과장)
 * 로봇 타관도서 대출 이슈 문제 해결 및 테스트 완료.
  → 추가로 현재 타관도서 목록도 보여지고 있으며, 기관 요청시 파일 수정 예정.
  → 도서 반납시 안내사진 수정(노학주 차장)
 * 관리자 계정: manager / nicom123.
  → 웹페이지: localhost:5006</t>
    </r>
    <phoneticPr fontId="11" type="noConversion"/>
  </si>
  <si>
    <t>두정도서관</t>
    <phoneticPr fontId="11" type="noConversion"/>
  </si>
  <si>
    <t>오창현</t>
    <phoneticPr fontId="11" type="noConversion"/>
  </si>
  <si>
    <t>2320HSC</t>
    <phoneticPr fontId="11" type="noConversion"/>
  </si>
  <si>
    <t xml:space="preserve"> * 단순 점검
  → 개관 전 점검</t>
    <phoneticPr fontId="11" type="noConversion"/>
  </si>
  <si>
    <t xml:space="preserve"> * 방문 / 양기헌
  → 타관도서 대출연동 오류 확인. 포트 허용 요청.
  → 12.23 내역 참고. 완료 처리.</t>
    <phoneticPr fontId="11" type="noConversion"/>
  </si>
  <si>
    <t>600RS</t>
    <phoneticPr fontId="11" type="noConversion"/>
  </si>
  <si>
    <t xml:space="preserve"> * 유선 접수 / 양기헌
  → 독서통장 리본 교체 요청.</t>
    <phoneticPr fontId="11" type="noConversion"/>
  </si>
  <si>
    <t xml:space="preserve"> * 방문 / 양기헌
  → 리본 교체 완료. 테스트 및 정상작동 확인.</t>
    <phoneticPr fontId="11" type="noConversion"/>
  </si>
  <si>
    <t xml:space="preserve"> * 12.4 내역 참고</t>
    <phoneticPr fontId="11" type="noConversion"/>
  </si>
  <si>
    <r>
      <t xml:space="preserve"> * 방문 / 양기헌
  → </t>
    </r>
    <r>
      <rPr>
        <sz val="10"/>
        <rFont val="맑은 고딕"/>
        <family val="3"/>
        <charset val="129"/>
      </rPr>
      <t>1층, 2층 데스크 인터넷망 PC 교체 예정이라고 함. D드라이브에 나이콤 폴더 백업 요청. 12.30.(월)에 방문 예정.</t>
    </r>
    <r>
      <rPr>
        <sz val="10"/>
        <color rgb="FF000000"/>
        <rFont val="맑은 고딕"/>
        <family val="3"/>
        <charset val="129"/>
      </rPr>
      <t xml:space="preserve">
  → 1층 엘리베이터쪽 분실장지기 연동 게이트 리더기 불량으로 입구 임시 폐쇄
  → 2층 후문 분실방지기 부정도서 알람 소리가 나오지 않음(부정도서 팝업 및 LED는 나옴). 데스크 연동PC 교체 후 재점검 예정 안내.
  → 장비에서 네트워크 연결이 안되어 탁스 로그인이 안되고 있다면 윈도우 2차 비밀번호를 변경하지 않았을 가능성이 있음. 비번 변경 후 작은아이콘 GINIANS 우측 클릭 후 내 상태보기에서 상태 점검 여러번 한 후에 최신화 후 테스트 필요. 인터넷 속성 &gt; 고급 &gt; 서버의 인증서 해지 확인 체크 해제.
 * 12.30 내역 참고. 완료 처리.</t>
    </r>
    <phoneticPr fontId="11" type="noConversion"/>
  </si>
  <si>
    <t xml:space="preserve"> * 유선 접수 / 나이콤 김소혜 대리
  → 자가대출반납기 바코드 스캐너에서 불빛이 들어오지 않는다고 함. 장비 재부팅 후에도 증상 동일.</t>
    <phoneticPr fontId="11" type="noConversion"/>
  </si>
  <si>
    <t xml:space="preserve"> * 유선 안내 / 양기헌
  → 일정 확인 후 방문 예정 안내.
 * 12.19 방문 / 양기헌
  → 바코드 스캐너가 브라켓과 분리되어 밑으로 떨어져있었음. 브라켓 재고정 및 정상작동 확인.</t>
    <phoneticPr fontId="11" type="noConversion"/>
  </si>
  <si>
    <t>온담작은도서관</t>
    <phoneticPr fontId="11" type="noConversion"/>
  </si>
  <si>
    <t>장비 납품</t>
    <phoneticPr fontId="11" type="noConversion"/>
  </si>
  <si>
    <t xml:space="preserve"> * 12.12 내역 참고.</t>
    <phoneticPr fontId="11" type="noConversion"/>
  </si>
  <si>
    <r>
      <t xml:space="preserve"> * 방문 / 양기헌
  → 이준혁 차장, 최혜경 사원 지원
  → 4810RA(W, 블루투스, 매립) 1식 납품.
  → 2320HSC, 110RD 각각 1대 납품.
  → </t>
    </r>
    <r>
      <rPr>
        <sz val="10"/>
        <rFont val="맑은 고딕"/>
        <family val="3"/>
        <charset val="129"/>
      </rPr>
      <t>현재 시설 네트워크 및 업무용PC, 도서 미설치로 인하여 1월 중 시설 완공 이후 재방문 예정 안내.</t>
    </r>
    <phoneticPr fontId="11" type="noConversion"/>
  </si>
  <si>
    <t xml:space="preserve"> * 12월 정기 유지보수 방문</t>
    <phoneticPr fontId="11" type="noConversion"/>
  </si>
  <si>
    <t xml:space="preserve"> * 유지보수 방문 / 양기헌, 이준혁
  → 1층 분실방지기 장비연동pc 시스템 정리. 웹보안 프로그램 사용 중지. 프로그램 포트 드라이버 재설치. 프로그램 실행시간 40초로 딜레이.
  → 1층 200게 확인증 프린터 통신 시리얼 케이블 서포트 교체 후 재결합.</t>
    <phoneticPr fontId="11" type="noConversion"/>
  </si>
  <si>
    <t xml:space="preserve"> * 12.18 내역 참고.</t>
    <phoneticPr fontId="11" type="noConversion"/>
  </si>
  <si>
    <t xml:space="preserve"> * 방문 / 양기헌
  → 타관도서 초과대출 연동 작업.
  → 프로그램 멈추는 현상 확인. 아이피 충돌로 인하여 고정아이피 재입력.</t>
    <phoneticPr fontId="11" type="noConversion"/>
  </si>
  <si>
    <t>4810RA
110RD</t>
    <phoneticPr fontId="11" type="noConversion"/>
  </si>
  <si>
    <t xml:space="preserve"> * 방문 / 양기헌
  → 2층 후문 분실방지기 컨트롤보드 교체 필요 확인. 나이콤에 부품 요청(이준혁 차장)
  → 데스크 사서용리더기 웹통신 불량으로 인한 프로그램 재설치 필요.
 * 1.6 내역 참고. 완료 처리.</t>
    <phoneticPr fontId="11" type="noConversion"/>
  </si>
  <si>
    <t>육군본부</t>
    <phoneticPr fontId="11" type="noConversion"/>
  </si>
  <si>
    <t>황상민</t>
    <phoneticPr fontId="11" type="noConversion"/>
  </si>
  <si>
    <t>4820RA</t>
    <phoneticPr fontId="11" type="noConversion"/>
  </si>
  <si>
    <t xml:space="preserve"> * 유선 접수 / 양기헌
  → 분실방지기 카운팅이 안된다고 함.</t>
    <phoneticPr fontId="11" type="noConversion"/>
  </si>
  <si>
    <t xml:space="preserve"> * 방문 / 양기헌
  → 컨피그 정보가 날라가 있는 상태 확인. 정보 재확인 및 입력 후 테스트 완료.</t>
    <phoneticPr fontId="11" type="noConversion"/>
  </si>
  <si>
    <t xml:space="preserve"> * 25년 1월 정기 유지보수 방문</t>
    <phoneticPr fontId="11" type="noConversion"/>
  </si>
  <si>
    <t>4층</t>
    <phoneticPr fontId="11" type="noConversion"/>
  </si>
  <si>
    <t>건물 전체</t>
  </si>
  <si>
    <t>고운동 도서관</t>
    <phoneticPr fontId="11" type="noConversion"/>
  </si>
  <si>
    <t>안미래</t>
    <phoneticPr fontId="11" type="noConversion"/>
  </si>
  <si>
    <t>5층</t>
    <phoneticPr fontId="11" type="noConversion"/>
  </si>
  <si>
    <t>싱싱장터 작은도서관</t>
    <phoneticPr fontId="11" type="noConversion"/>
  </si>
  <si>
    <t>오채은</t>
    <phoneticPr fontId="11" type="noConversion"/>
  </si>
  <si>
    <t>연동면 작은도서관</t>
    <phoneticPr fontId="11" type="noConversion"/>
  </si>
  <si>
    <t>최지희</t>
    <phoneticPr fontId="11" type="noConversion"/>
  </si>
  <si>
    <t xml:space="preserve"> * 유선 접수 / 양기헌
  → 납품 장비 프로그램 셋팅 요청.</t>
    <phoneticPr fontId="11" type="noConversion"/>
  </si>
  <si>
    <t xml:space="preserve"> * 유선 안내 / 양기헌
  → 1.7.(화) 오전 방문 예정 안내.
 * 1.7 내역 참고. 완료 처리.</t>
    <phoneticPr fontId="11" type="noConversion"/>
  </si>
  <si>
    <t>2560HSC</t>
    <phoneticPr fontId="11" type="noConversion"/>
  </si>
  <si>
    <t xml:space="preserve"> * 유선 접수 / 양기헌
  → 자대기 확인증 출력 내용이 짤려서 나온다고 함.</t>
    <phoneticPr fontId="11" type="noConversion"/>
  </si>
  <si>
    <t xml:space="preserve"> * 방문 / 양기헌
  → 확인증 용지가 제대로 끼워지지 않았음.
  → 장비 높낮이 기능 수정(이지연 과장). 제일 높음, 높음 기능 안보이도록 수정.</t>
    <phoneticPr fontId="11" type="noConversion"/>
  </si>
  <si>
    <t>김원근</t>
    <phoneticPr fontId="11" type="noConversion"/>
  </si>
  <si>
    <t xml:space="preserve"> * 12.30 내역 참고.</t>
    <phoneticPr fontId="11" type="noConversion"/>
  </si>
  <si>
    <t xml:space="preserve"> * 유지보수 방문 / 양기헌
  → 김원근 사무관 임시 담당자 지정. 2월중 새로운 직원 근무 예정이라고 함.
  → 3층 정문 자대기 포트 연결이 안되어 있었음. 탁스 정상. 네트워크 정상. 장치관리자 알수 없는 usb 장치 확인. 프로그램 중복실행x
  → 2층 분실방지기 프로그램 셋팅(기존 파일 이동) 및 포트 설정 완료. 부정도서 경보 안울리는 증상 해결(컨트롤 보드 연결 케이블 전부 재결합). 디바이스 서버 실행되어야 함.
  → 2층 사대리 프로그램 셋팅 완료</t>
    <phoneticPr fontId="11" type="noConversion"/>
  </si>
  <si>
    <t xml:space="preserve"> * 1.3 내역 참고.</t>
    <phoneticPr fontId="11" type="noConversion"/>
  </si>
  <si>
    <t xml:space="preserve"> * 방문 / 양기헌
  → 납품 장비 프로그램 셋팅.
  → 알파스 리더기 경로 연동 ECO 에이젼트 프로그램 설치(링캠 안현모)
  → NIMS 계정(libadmin / libadmin)
  → 자대기 호출 기능 설치 후 비활성화(활성화 필요시 실행파일 바로가기를 시작프로그램에 넣으면 됨)</t>
    <phoneticPr fontId="11" type="noConversion"/>
  </si>
  <si>
    <t xml:space="preserve"> * 유선 접수 / 양기헌
  → 자대기 메인 화면이 검게 나온다고 함.</t>
    <phoneticPr fontId="11" type="noConversion"/>
  </si>
  <si>
    <t xml:space="preserve"> * 방문 / 양기헌
  → 장비 재부팅 이후 모니터에 시각장애인 모드라는 창이 나옴. 메인 uid로 복귀x.
  → 나이콤 손상오 부장 통화. 메인 모니터 케이블 발송해준다고 함. 교체 후 테스트 및 모니터링 필요.
 * 1.10 내역 참고. 완료 처리.</t>
    <phoneticPr fontId="11" type="noConversion"/>
  </si>
  <si>
    <t>471RA</t>
    <phoneticPr fontId="11" type="noConversion"/>
  </si>
  <si>
    <t xml:space="preserve"> * 유선 접수 / 양기헌
  → 분실방지기 부정도서 창이 나오지 않는다고 함.</t>
    <phoneticPr fontId="11" type="noConversion"/>
  </si>
  <si>
    <t xml:space="preserve"> * 유선 안내 / 양기헌
  → 1.8 방문 예정 안내.
 * 1.8 방문 / 양기헌
  → 분실방지기 카운트가 일시적으로 최신화 되었다가 떨어짐.
  → 프로그램 최신 버전으로 패치(나이콤 장유나 사원).
  → 블루투스 안테나 데스크 위로 위치 조정.
  → 왼쪽 pc 클라이언트 프로그램은 사용안함으로 처리.</t>
    <phoneticPr fontId="11" type="noConversion"/>
  </si>
  <si>
    <t xml:space="preserve"> * 유선 접수 / 양기헌
  → 자대기에서 이용자 이름 마스킹 안되도록 설정 요청.</t>
    <phoneticPr fontId="11" type="noConversion"/>
  </si>
  <si>
    <t xml:space="preserve"> * 유선 안내 / 양기헌
  → 1.8 방문 예정 안내. 포트 허용 신청 요청.
 * 1.8 방문 / 양기헌
  → 대출 이후 완료 프로세스에서 이름 마스킹 설정 기능은 없어서 연구소 이관(나이콤 송선아 과장)
  → 연구소 회신 후 방문 예정 안내.
 * 1.17 방문예정 안내.
 * 1.17 내역 참고. 완료 처리.</t>
    <phoneticPr fontId="11" type="noConversion"/>
  </si>
  <si>
    <t xml:space="preserve"> * 1월 유지보수 방문</t>
    <phoneticPr fontId="11" type="noConversion"/>
  </si>
  <si>
    <t xml:space="preserve"> * 유지보수 방문 / 양기헌
  → 후문 반납기 전원이 꺼져있었다고 함.
  → 장비가 위치한 방풍실 온도가 매우 낮아서 전원이 안들어온것으로 보임. 모니터링 안내.
  → 도서관 건물 전체 화장실 공사중(2.21까지)</t>
    <phoneticPr fontId="11" type="noConversion"/>
  </si>
  <si>
    <t xml:space="preserve"> * 유지보수 방문 / 양기헌
  → 특이사항 없음.
  → 2월 점검은 10일 이전으로 방문 요청.</t>
    <phoneticPr fontId="11" type="noConversion"/>
  </si>
  <si>
    <t>3, 4층</t>
    <phoneticPr fontId="11" type="noConversion"/>
  </si>
  <si>
    <t xml:space="preserve"> * 유지보수 방문 / 양기헌
  → 4층 장비. 윈도우즈 시간 동기화.
  → 인터넷 시간 설정 기능에서 기관에서 전달한 time.sch.co.kr 주소 입력. 1시간 마다 시간 동기화 되도록 설정(나이콤 이정중 과장)
  → 3층 장비는 자료실 청소중으로 이정중 과장이 원격으로 처리 완료.</t>
    <phoneticPr fontId="11" type="noConversion"/>
  </si>
  <si>
    <t xml:space="preserve"> * 유지보수 방문 / 양기헌
  → 특이사항 없음.
  → 3층 장비 수평 작업(장비 아래에 나무 받침으로 고정)</t>
    <phoneticPr fontId="11" type="noConversion"/>
  </si>
  <si>
    <t>990SL</t>
    <phoneticPr fontId="11" type="noConversion"/>
  </si>
  <si>
    <t xml:space="preserve"> * 유지보수 방문 / 양기헌
  → 한파로 인한 장비 프로그램 정상부팅 안됨 확인. 부스 내 히터가 꺼져있었음.
  → 꿈샘 담당자에게 내용 전달 완료. 실내온도 21도로 설정해놓는다고 함.
  → 중앙도서관 전산 주무관에게 장비 원격 접속을 위한 방화벽 허용 요청.
 * 1.10 방문 / 양기헌
  → 장비 네트워크 접속 안되어 있음. 김기균 주무관 문의 결과 VPN 설정이 잘못되어 다시 셋팅해야 할거 같다고 함. 1.31까지는 장비 운영 안할 예정이라고 함.
 * 1.16 통화(김기균 주무관) / 양기헌
  → 1.24.(금) 오후에 VPN 셋팅 완료되어 테스트 요청.
 * 1.24 내역 참고. 완료 처리.</t>
    <phoneticPr fontId="11" type="noConversion"/>
  </si>
  <si>
    <t>1500S
990SL</t>
    <phoneticPr fontId="11" type="noConversion"/>
  </si>
  <si>
    <t xml:space="preserve"> * 1.7 내역 참고.</t>
    <phoneticPr fontId="11" type="noConversion"/>
  </si>
  <si>
    <t xml:space="preserve"> * 방문 / 양기헌
  → 메인모니터 케이블 교체 후 서브 모니터 케이블과 상호 교체.
  → 메인(hdmi), 서브(dp to hdmi)
  → SW 패치: 시각장애인모드 화면 아래에 메인 화면으로 갈수 있는 단추 생성(이정중 과장)</t>
    <phoneticPr fontId="11" type="noConversion"/>
  </si>
  <si>
    <t xml:space="preserve"> * 유지보수 방문 / 양기헌
  → 특이사항 없음.
  → 도서 투입간 프로세스 교육.</t>
    <phoneticPr fontId="11" type="noConversion"/>
  </si>
  <si>
    <t>신성대학교/기숙사</t>
    <phoneticPr fontId="11" type="noConversion"/>
  </si>
  <si>
    <t>이시은
성헌경</t>
    <phoneticPr fontId="11" type="noConversion"/>
  </si>
  <si>
    <t xml:space="preserve"> * 유지보수 방문 / 양기헌
  → 도서관 좌석발급기 전원시간 설정 수정(07:00 / 24:00)
  → 기숙사 3관 출구쪽 게이트 데이터 조회 오류로 인한 출구쪽 게이트 안열림. 한달 조금 안되게 PC를 켜지 않았다고 함.
  → 리모트컨트롤로 통신 재연결. 정상작동 확인.</t>
    <phoneticPr fontId="11" type="noConversion"/>
  </si>
  <si>
    <t>허소연</t>
    <phoneticPr fontId="11" type="noConversion"/>
  </si>
  <si>
    <t xml:space="preserve"> * 유지보수 방문 / 양기헌
  → 특이사항 없음.
  → 25년 1월부 유지보수 담당자 변경(허소연 / 041-746-5983 / kkk3930@korea.kr)</t>
    <phoneticPr fontId="11" type="noConversion"/>
  </si>
  <si>
    <t xml:space="preserve"> * 유지보수 방문 / 양기헌
  → 특이사항 없음.
  → 1.23(목) / 접근성 모듈 및 장비 교체 관련 미팅 예정(나이콤 김신호 차장 동행 예정)</t>
    <phoneticPr fontId="11" type="noConversion"/>
  </si>
  <si>
    <t xml:space="preserve"> * 방문 / 양기헌
  → 2층 자대기 이름 마스킹 안되도록 수정파일 패치(김소혜 대리)</t>
    <phoneticPr fontId="11" type="noConversion"/>
  </si>
  <si>
    <r>
      <t xml:space="preserve"> * 유지보수 방문 / 양기헌
  → </t>
    </r>
    <r>
      <rPr>
        <sz val="10"/>
        <rFont val="맑은 고딕"/>
        <family val="3"/>
        <charset val="129"/>
      </rPr>
      <t>본관 9110에서 도서 배출 프로세스에서 간헐적으로 계속 로딩중인 현상 확인. 연구소 이관(신혜연 과장). 추후 패치파일 적용 예정.</t>
    </r>
    <r>
      <rPr>
        <sz val="10"/>
        <color rgb="FF000000"/>
        <rFont val="맑은 고딕"/>
        <family val="3"/>
        <charset val="129"/>
      </rPr>
      <t xml:space="preserve">
  → 오늘 아침에 2층 200rp가 자동부팅이 완전히 되지 않고 메인모니터에는 윈도우 부팅 화면만 나오고 서브모니터는 까맣게 나와서 장비 차단기를 내렸다 올려서 부팅하였다고 함(방현민 선생님). 로그 확인 결과 com6 포트 연결이 안되었다고 나오나 해당 포트는 장치관리자에서 확인되지 않음.
  → </t>
    </r>
    <r>
      <rPr>
        <sz val="10"/>
        <rFont val="맑은 고딕"/>
        <family val="3"/>
        <charset val="129"/>
      </rPr>
      <t>지하1층, 1층 분실방지 프로그램 월별통계 조회시 검색 시작일의 달만 나옴. 연구소 이관(신혜연 과장). 추후 패치파일 적용 예정.</t>
    </r>
    <r>
      <rPr>
        <sz val="10"/>
        <color rgb="FF000000"/>
        <rFont val="맑은 고딕"/>
        <family val="3"/>
        <charset val="129"/>
      </rPr>
      <t xml:space="preserve">
  → 1층 분실방지 블루투스 안테나를 데스크쪽으로 세워서 고정 부착.
  → 310에서 간혹 트레이가 꺾인채로 발견된다고 함(윤승호 대리). 필요시 교체 가능한지 문의. 모니터링 안내. 필요시 센서부 교체 예정.</t>
    </r>
    <phoneticPr fontId="11" type="noConversion"/>
  </si>
  <si>
    <t xml:space="preserve"> * 1.9 내역 참고.</t>
    <phoneticPr fontId="11" type="noConversion"/>
  </si>
  <si>
    <t xml:space="preserve"> * 방문 / 양기헌
  → 장비 부스 히터가 냉방 모드여서 난방으로 바꿈.
  → COM7 포트(리더기)가 간헐적으로 끊기는 증상 확인. 모니터링 후 추가 증상 발생시 RS232 to USB 케이블 구매하여 교체 예정.</t>
    <phoneticPr fontId="11" type="noConversion"/>
  </si>
  <si>
    <t>이세형</t>
    <phoneticPr fontId="11" type="noConversion"/>
  </si>
  <si>
    <t xml:space="preserve"> * 유선 접수 / 양기헌
  → las에서 이용자 개인정보동의 설정 및 해제 후 장비에서 적용이 안되어 문의 / 김소혜 대리 접수</t>
    <phoneticPr fontId="11" type="noConversion"/>
  </si>
  <si>
    <t xml:space="preserve"> * 유선 안내 / 양기헌
  → 해당 기능 설정여부 확인 필요 및 필요시 파일 수정패치 가능성 안내. 2월 첫째주 방문 예정 안내.
  → 방문전 포트허용 신청 요청 필요.
 * 2.4 방문 예정 안내.
 * 2.4 내역 참고. 완료 처리.</t>
    <phoneticPr fontId="11" type="noConversion"/>
  </si>
  <si>
    <t xml:space="preserve"> * 2월 정기 유지보수 </t>
    <phoneticPr fontId="11" type="noConversion"/>
  </si>
  <si>
    <t xml:space="preserve"> * 유지보수 방문 / 양기헌
  → 보안정책으로 팀뷰어 삭제하였다고 함.
  → 기관 자체 원격 프로그램도 있으나 나이콤 리모트콜은 사용가능하다고 하여 기존 나이콤 리모트콜로 원격 서비스 하기로 하였음.
  → 간헐적으로 예약도서 목록이 라스와 상이하여 도서를 투입하지 못하는 경우가 있다고 함. 1, 2시간 이후에는 투입 가능하다고 하는데 모니터링 해보기로 하였음.</t>
    <phoneticPr fontId="11" type="noConversion"/>
  </si>
  <si>
    <t xml:space="preserve"> * 유지보수 방문 / 양기헌
  → 5층 분실방지기 및 사대리 연동PC 교체로 인한 프로그램 신규 설치 필요.
  → 기존 사용하던 블루투스 안테나 분실됨.
  → 담당 주무관 교체 예정으로 신규 주무관 투입시 프로그램 설치 여부 협의 예정(2.4 이후 투입 예정이라고 함).
  → 간혹 5층 분실방지기에서 사람이 도서 없이 지나가도 알람 소리가 난다고 함. 프로그램 설치 후 확인 예정.
 * 2.10 내역 참고. 완료 처리.</t>
    <phoneticPr fontId="11" type="noConversion"/>
  </si>
  <si>
    <t xml:space="preserve"> * 유지보수 방문 / 양기헌
  → 3층 자대기에서 도서 대출반납간에 2.2.(일)에 한 차례 딱딱딱 하는 소리가 났다고 함.
  → 테스트 결과 이온 플라즈마 팬 소음으로 의심됨. 모니터링 후 추가 증상 발생 시 교체여부 결정 예정.
  → 2층 어린이자료실 자대기 전원 오프 시간설정 변경(기존 18:10에서 변경 21:10으로)</t>
    <phoneticPr fontId="11" type="noConversion"/>
  </si>
  <si>
    <t>임요한</t>
    <phoneticPr fontId="11" type="noConversion"/>
  </si>
  <si>
    <t xml:space="preserve"> * 유지보수 방문 / 양기헌
  → 부정도서 팝업이 나오지 않는 증상이 있음.
  → PC 재부팅 후 정상작동 확인. 모니터링 안내.</t>
    <phoneticPr fontId="11" type="noConversion"/>
  </si>
  <si>
    <t xml:space="preserve"> * 1.24 내역 참고.</t>
    <phoneticPr fontId="11" type="noConversion"/>
  </si>
  <si>
    <t xml:space="preserve"> * 방문 / 양기헌
  → 유지보수 정기 점검 병행.
  → 자대기 개인정보 미확인 이용자 대출제한 설정 적용 관련 연구소 이관(김소혜 대리). 추후 재방문 예정 안내.
 * 2.12 내역 참고. 완료 처리.</t>
    <phoneticPr fontId="11" type="noConversion"/>
  </si>
  <si>
    <t xml:space="preserve"> * 유지보수 방문 / 양기헌
  → 세종중앙공원 스마트도서관 / 대출된 도서를 이용자가 데스크로 반납한 경우 장비에서는 반납처리가 되지 않음 안내. 해당 도서를 재투입하지 않을 경우, 장비에서 해당 도서는 부분배출하거나 DB에서 삭제해야함(나이콤 고객지원 접수 필요).
  → 3월 유지보수 간에 300H 오링 교체 필요.</t>
    <phoneticPr fontId="11" type="noConversion"/>
  </si>
  <si>
    <t xml:space="preserve"> * 유지보수 방문 / 양기헌
  → 방풍실 장비 바코드 스캐너 스캔 불량으로 스캐너 프로그램 드라이버 최신버젼 설치 및 각도 조정. 테스트 정상 확인.
  → 추후 동일 증상 발생시 스캐너 교체 예정.</t>
    <phoneticPr fontId="11" type="noConversion"/>
  </si>
  <si>
    <t>이수연</t>
    <phoneticPr fontId="11" type="noConversion"/>
  </si>
  <si>
    <t>자가대출반납기(EM)</t>
    <phoneticPr fontId="11" type="noConversion"/>
  </si>
  <si>
    <t>3, 4CMD</t>
    <phoneticPr fontId="11" type="noConversion"/>
  </si>
  <si>
    <t xml:space="preserve"> * 유지보수 방문 / 양기헌
  → 3층 장비 인터넷 서버 변경 "time.sch.ac.kr"
  → 4층 장비에서 화면 터치가 안된적이 있다고 함. 확인 결과 정상 작동. 모니터링 안내.</t>
    <phoneticPr fontId="11" type="noConversion"/>
  </si>
  <si>
    <t xml:space="preserve"> * 유지보수 방문 / 양기헌
  → 부스 히터 꺼져있었음.
  → COM8(RS232 to USB) 케이플 접촉 불량으로 다른 포트로 바꾸어서 재결합.</t>
    <phoneticPr fontId="11" type="noConversion"/>
  </si>
  <si>
    <t>김선균</t>
    <phoneticPr fontId="11" type="noConversion"/>
  </si>
  <si>
    <t>김한솔</t>
    <phoneticPr fontId="11" type="noConversion"/>
  </si>
  <si>
    <t>1400WG</t>
    <phoneticPr fontId="11" type="noConversion"/>
  </si>
  <si>
    <t>기숙사 1, 2, 3관</t>
    <phoneticPr fontId="11" type="noConversion"/>
  </si>
  <si>
    <t>황현정</t>
    <phoneticPr fontId="11" type="noConversion"/>
  </si>
  <si>
    <t>470RA, 110RD</t>
    <phoneticPr fontId="11" type="noConversion"/>
  </si>
  <si>
    <t xml:space="preserve"> * 2.3 내역 참고.</t>
    <phoneticPr fontId="11" type="noConversion"/>
  </si>
  <si>
    <r>
      <t xml:space="preserve"> * 방문 / 양기헌
  → 5층 사서용리더기 프로그램 설치(이지연 과장)
  → 5층 분실방지기는 블루투스 안테나 분실로 일단 장비만 켜놓고 사용한다고 함.
  → </t>
    </r>
    <r>
      <rPr>
        <sz val="10"/>
        <color theme="1"/>
        <rFont val="맑은 고딕"/>
        <family val="3"/>
        <charset val="129"/>
      </rPr>
      <t>추후 4층 데스크 pc 포맷 예정으로 포맷 전 프로그램 백업 및 일정 조율 후 프로그램 설치 필요.</t>
    </r>
    <phoneticPr fontId="11" type="noConversion"/>
  </si>
  <si>
    <t>200RP</t>
    <phoneticPr fontId="11" type="noConversion"/>
  </si>
  <si>
    <t>지하1층</t>
    <phoneticPr fontId="11" type="noConversion"/>
  </si>
  <si>
    <t xml:space="preserve"> * 유선 접수 / 양기헌
  → 장비 모니터가 격자모양으로 줄이 보인다고 함.</t>
    <phoneticPr fontId="11" type="noConversion"/>
  </si>
  <si>
    <t xml:space="preserve"> * 유선 안내 / 양기헌
  → 현재 모니터 사용에는 크게 지장이 없는 상태로 이번달 정기 점검간에 확인 예정 안내.
 * 2.24 내역 참고. 완료 처리.</t>
    <phoneticPr fontId="11" type="noConversion"/>
  </si>
  <si>
    <t>분실방지기</t>
    <phoneticPr fontId="11" type="noConversion"/>
  </si>
  <si>
    <t>1, 2층</t>
    <phoneticPr fontId="11" type="noConversion"/>
  </si>
  <si>
    <t xml:space="preserve"> * 유선 접수 / 양기헌
  → 분실방지기 입력 IP 및 사용 망 문의</t>
    <phoneticPr fontId="11" type="noConversion"/>
  </si>
  <si>
    <t xml:space="preserve"> * 유선 안내 / 양기헌
  → 1층 장비는 IP 입력 및 프로그램 셋팅 없이 전원만 켜고 사용하고있음 안내.
  → 2층 장비는 인터넷망 사용중.
     정문: 100.200.145.55 8058 / 후문: 100.200.145.56 8058</t>
    <phoneticPr fontId="11" type="noConversion"/>
  </si>
  <si>
    <t xml:space="preserve"> * 2.4 내역 참고.</t>
    <phoneticPr fontId="11" type="noConversion"/>
  </si>
  <si>
    <t xml:space="preserve"> * 방문 / 양기헌
  → 유지보수 정기 점검 병행.
  → 자대기 개인정보 미확인 이용자 대출제한 설정(김소혜 대리).
  → DB 추가 및 프로그램 수정 후 테스트 완료.</t>
    <phoneticPr fontId="11" type="noConversion"/>
  </si>
  <si>
    <t xml:space="preserve"> * 유선 접수 / 양기헌
  → 2.18 유지보수 담당자 보안교육 참석 요청.
  → 논산시청본관 3층 대회의실 / 15:00</t>
    <phoneticPr fontId="11" type="noConversion"/>
  </si>
  <si>
    <t xml:space="preserve"> * 유선 안내 / 양기헌
  → 양기헌 과장 참석 가능 안내.
 * 2.18 보안교육 참석 완료.</t>
    <phoneticPr fontId="11" type="noConversion"/>
  </si>
  <si>
    <t>장비전체</t>
    <phoneticPr fontId="11" type="noConversion"/>
  </si>
  <si>
    <t xml:space="preserve"> * 유선 접수 / 양기헌
  → 스마트도서관과 예약대출기에서 에러 메시지가 나왔다고 함.</t>
    <phoneticPr fontId="11" type="noConversion"/>
  </si>
  <si>
    <t xml:space="preserve"> * 유선 안내 / 양기헌
  → pc 2차 비번 미변경으로 인한 탁스 사용이 제한되어 포트가 끊어진 것으로 확인됨.
  → 2차 비번 변경 후 정상작동 확인 전달 받음.</t>
    <phoneticPr fontId="11" type="noConversion"/>
  </si>
  <si>
    <t>장영례</t>
    <phoneticPr fontId="11" type="noConversion"/>
  </si>
  <si>
    <t>3층</t>
    <phoneticPr fontId="11" type="noConversion"/>
  </si>
  <si>
    <t xml:space="preserve"> * 유선 접수 / 양기헌
  → 3층 독통에서 통장이 가끔씩 씹혀서 나온다고 함.</t>
    <phoneticPr fontId="11" type="noConversion"/>
  </si>
  <si>
    <t xml:space="preserve"> * 유선 안내 / 양기헌
  → 추가 증상 발생시 통장 확보 또는 사진 촬영 요청 안내.
  → 3월 점검간에 확인 예정 안내.
 * 3.5 내역 참고. 완료 처리.</t>
    <phoneticPr fontId="11" type="noConversion"/>
  </si>
  <si>
    <t>태안여자고등학교</t>
    <phoneticPr fontId="11" type="noConversion"/>
  </si>
  <si>
    <t>이요셉</t>
    <phoneticPr fontId="11" type="noConversion"/>
  </si>
  <si>
    <t>9515SL</t>
    <phoneticPr fontId="11" type="noConversion"/>
  </si>
  <si>
    <t xml:space="preserve"> * 유선 접수 / 양기헌
  → 스마트도서관 위치이동 요청.</t>
    <phoneticPr fontId="11" type="noConversion"/>
  </si>
  <si>
    <r>
      <t xml:space="preserve"> * 방문 / 양기헌
  → 위치 이동 전 현장 확인 및 견적서 발송.
  → 현재 아직 건물 공사중이며, 이동예정 위치에는 전기/통신 작업이 안되어 있음.
  → 고정아이피 및 전기/통신 설비 완료 후 회신 요청 안내. 추후 일정 협의 후 작업 예정 안내.
  → 행정실 이요셉 / 041-670-7745
 * 2.25 방문 / 이해진 이사
</t>
    </r>
    <r>
      <rPr>
        <sz val="10"/>
        <rFont val="맑은 고딕"/>
        <family val="3"/>
        <charset val="129"/>
      </rPr>
      <t xml:space="preserve">  → 학교 시설 공사로 장비 이동 일정은 잠정 연기.</t>
    </r>
    <r>
      <rPr>
        <sz val="10"/>
        <color rgb="FF000000"/>
        <rFont val="맑은 고딕"/>
        <family val="3"/>
        <charset val="129"/>
      </rPr>
      <t xml:space="preserve">
 * 3.13 이동 설치 예정.</t>
    </r>
    <phoneticPr fontId="11" type="noConversion"/>
  </si>
  <si>
    <t>110RD</t>
    <phoneticPr fontId="11" type="noConversion"/>
  </si>
  <si>
    <t xml:space="preserve"> * 유선 접수 / 양기헌
  → 세종시 공공도서관에서 RFID가 안된다고 함.</t>
    <phoneticPr fontId="11" type="noConversion"/>
  </si>
  <si>
    <t xml:space="preserve"> * 유선 안내 / 양기헌
  → 세종시 공공도서관 pc에서 신규 알약 프로그램에서 "행위 기반 차단 알림"이라는 메세지창이 나오고 하단에 "차단 파일 탐지 제외하기"가 체크가 되어있으면 kdevice와 rfid 리더기 연결이 안되는 증상 확인.
지금까지 확인한 바로는 나이콤 rfid 리더기 연동 pc에서 증상이 나오는것으로 보임.</t>
    <phoneticPr fontId="11" type="noConversion"/>
  </si>
  <si>
    <t xml:space="preserve"> * 유선 접수 / 양기헌
  → 분실방지기 부정도서 알람음이 안들리고 프로그램 및 장비에서 인아웃 카운팅이 안되고 있다고 함.</t>
    <phoneticPr fontId="11" type="noConversion"/>
  </si>
  <si>
    <t xml:space="preserve"> * 유선 안내 / 양기헌
  → 장비 재부팅 후 정상작동 확인(이정중 과장)하였으나 2시간 이후 증상 재발생으로 일정 조율 후 방문 예정 안내.
 * 2.24 방문 / 이해진 이사, 이준혁 차장
  → com3 포트 막혀 있음. 재부팅 테스트 정상. 동일 증상 발생시 pc 재부팅 후 장비 정상작동 확인 되면 pc점검으로 진행 요청.</t>
    <phoneticPr fontId="11" type="noConversion"/>
  </si>
  <si>
    <r>
      <t xml:space="preserve"> * 유지보수 방문 / 이해진 이사, 이준혁 차장
  → 본관 예약대출기 도서 배출시 로딩 화면 멈춤증상 SW패치 및 테스트 완료.
  → </t>
    </r>
    <r>
      <rPr>
        <sz val="10"/>
        <color theme="1"/>
        <rFont val="맑은 고딕"/>
        <family val="3"/>
        <charset val="129"/>
      </rPr>
      <t>분실방지기는 미해결로 파일 원복 후 추후 재작업 예정.</t>
    </r>
    <r>
      <rPr>
        <sz val="10"/>
        <color rgb="FFFF0000"/>
        <rFont val="맑은 고딕"/>
        <family val="3"/>
        <charset val="129"/>
      </rPr>
      <t xml:space="preserve">
</t>
    </r>
    <r>
      <rPr>
        <sz val="10"/>
        <color rgb="FF000000"/>
        <rFont val="맑은 고딕"/>
        <family val="3"/>
        <charset val="129"/>
      </rPr>
      <t xml:space="preserve">  → 지하 1층 왼쪽 200RP 메인모니터 불량으로 인한 상단 서브모니터와 교체. 19인치 모니터 부품 요청 완료. 추후 기관 요청시 서브 모니터 교체 예정.
 * 3.24 정기점검간에 지하1층 분실방지기 PC 교체 후 기존 프로그램으로 설치 및 테스트 예정. 100RD 포함.
 * 3.24 내역 참고. 완료 처리.</t>
    </r>
    <phoneticPr fontId="11" type="noConversion"/>
  </si>
  <si>
    <t xml:space="preserve"> * 유선 접수 / 양기헌
  → 김소혜 대리 접수
  → 데스크 기준 오른쪽 장비에서 대출반납시 오류가 뜨면서 3~4권만 처리가 되는 경우가 있다고 함.</t>
    <phoneticPr fontId="11" type="noConversion"/>
  </si>
  <si>
    <t xml:space="preserve"> * 방문 / 이해진 이사
  → 테스트 프로그램 확인 결과 장비 정상작동 확인. 태그 겹침 및 노이즈로 의심 되어 다른 케이블들과 안테나 케이블 분리. 추후 증상 발생시 안테나 케이블 혹은 리더기 보드 교체 예정.</t>
    <phoneticPr fontId="11" type="noConversion"/>
  </si>
  <si>
    <t xml:space="preserve"> * 유선 접수 / 최혜경
  → 5층 분실방지기에서 계속 부정도서 알람이 나온다고 함.
  → 4층 분실방지기 안테나에서 계속 빨간불이 들어온다고 함.</t>
    <phoneticPr fontId="11" type="noConversion"/>
  </si>
  <si>
    <t xml:space="preserve"> * 유선 안내 / 최혜경
  → 5층 분실방지기 안테나 근처에서 이용자가 도서를 읽고 있었음. 해당 이용자 이동 후 장비 정상작동 확인.
  → 4층 분실방지기 재부팅 후 정상작동 확인.</t>
    <phoneticPr fontId="11" type="noConversion"/>
  </si>
  <si>
    <t xml:space="preserve"> * 3월 정기 유지보수</t>
    <phoneticPr fontId="11" type="noConversion"/>
  </si>
  <si>
    <t>4, 5층</t>
    <phoneticPr fontId="11" type="noConversion"/>
  </si>
  <si>
    <t>2, 3층</t>
    <phoneticPr fontId="11" type="noConversion"/>
  </si>
  <si>
    <t xml:space="preserve"> * 유지보수 방문 / 양기헌
  → 독통 정리 내역이 일시적으로 아래로 칸을 벗어남. 모니터링.
  → 3층 자대기에서 높이 4단 이상일 경우 바닥 수평이 조금 맞지 않아서 작은 흔들림에도 기체에서 딱딱딱하는 소리가 남. 바닥이 카펫으로 장비 무게에 의해서 일정한 수평이 유지되고 있지 않으며, 임시방편으로 종이로 수평 조절함.</t>
    <phoneticPr fontId="11" type="noConversion"/>
  </si>
  <si>
    <t>세종중앙공원 스마트도서관</t>
    <phoneticPr fontId="11" type="noConversion"/>
  </si>
  <si>
    <t>김연은</t>
    <phoneticPr fontId="11" type="noConversion"/>
  </si>
  <si>
    <t>세종중앙공원 외부부스</t>
    <phoneticPr fontId="11" type="noConversion"/>
  </si>
  <si>
    <t xml:space="preserve"> * 유지보수 방문 / 양기헌
  → 이용자가 타관도서(EM)를 투입하였다고 하여, 장비 내부에서 해당 도서 수거함.
  → 기존 스마트도서를 반납 프로세스에서 인식후에 투입구가 열리고나서 타관도서를 투입한것 같음.
  → 반납취소 메시지가 나오나 도서를 안꺼내고 계속 두면 선반을 가져온 곳으로 다시 투입하고 WEB 문자 발신으로 "반납도서인식안됨, 사용불가처리, 전후면, 서가, 위치"의 내용으로 수신이 됨.
  → 나이콤 김소혜 대리 통화 / 원래 그런 프로세스가 맞다고 함.
  → 프로그램 기능 개선 차원으로 인식안된 도서는 가져온 선반의 위치에 그대로 들어가는 것이 아닌 비도서 선반에 위치되면 어떤지 문의함.
  → 해당 도서는 다정동 도서관에 반납 완료.
  → 흔한남내11이 훼손이 많이 되서 다정동 도서관에 반납 완료.</t>
    <phoneticPr fontId="11" type="noConversion"/>
  </si>
  <si>
    <t xml:space="preserve"> * 유지보수 방문 / 양기헌
  → 독통 정리 시간이 5권 기준 15~20초 정도 걸림.
  → 개선 가능여부 문의(나이콤 김소혜 대리)
 * 3.24 통화(김소혜 대리)
  → 3.26 현장에서 테스트할 필요가 있다고 함. 오후 방문 예정.
 * 3.26 내역 참고. 완료 처리.</t>
    <phoneticPr fontId="11" type="noConversion"/>
  </si>
  <si>
    <t>손하난</t>
    <phoneticPr fontId="11" type="noConversion"/>
  </si>
  <si>
    <t xml:space="preserve"> * 유선 접수 / 양기헌
  → 천안시 정책과 주무관 통화(손하난)
  → 이용자가 자대기에서 과거 대출한 도서를 재대출하는지에 대한 여부를 선택할수 있는 기능이 있는지 문의.</t>
    <phoneticPr fontId="11" type="noConversion"/>
  </si>
  <si>
    <t xml:space="preserve"> * 유선 안내 / 양기헌
  → 현재 해당 기능은 없으며, 프로그램 수정 가능 여부 확인 후 회신 예정 안내.
  → 나이콤 장유나 사원에게 내용 전달 및 접수 완료.
 * 3.24 통화(손하난 주무관)
  → 현재 기능으로 사용한다고 함. 완료 처리.</t>
    <phoneticPr fontId="11" type="noConversion"/>
  </si>
  <si>
    <t>김민진</t>
    <phoneticPr fontId="11" type="noConversion"/>
  </si>
  <si>
    <t>장아름</t>
    <phoneticPr fontId="11" type="noConversion"/>
  </si>
  <si>
    <t xml:space="preserve"> * 유지보수 방문 / 양기헌
  → 특이사항 없음.
  → 3월부 유지보수 담당자 변경.
      장아름 / 010-2847-4988 / dkdp56@koreatech.ac.kr</t>
    <phoneticPr fontId="11" type="noConversion"/>
  </si>
  <si>
    <t xml:space="preserve"> * 유지보수 방문 / 양기헌
  → 기숙사 1관 장애인 게이트 동작 오류 확인.
  → 추후 일정 협의 후 재방문 예정 안내.
  → 3.20 내역 참고. 완료 처리.</t>
    <phoneticPr fontId="11" type="noConversion"/>
  </si>
  <si>
    <t>200E2(EM)</t>
    <phoneticPr fontId="11" type="noConversion"/>
  </si>
  <si>
    <t xml:space="preserve"> * 유지보수 방문 / 양기헌
  → 5단 왼쪽 롤러부 모터 불량으로 교체 예정.
  → 부품 요청(나이콤 이준혁 차장)</t>
    <phoneticPr fontId="11" type="noConversion"/>
  </si>
  <si>
    <t xml:space="preserve"> * 유선 접수 / 양기헌
  → 사대리가 안된다고 함.
  → 2층 자가대출반납기 1대와 분실방지기 1대를 5, 6월까지 용산 캠퍼스로 이전 설치 가능한지 문의.
  → 분실방지기는 아이피 입력 없이 도난방지 알람만 울리면 된다고 함.
  → 본캠에서 빠지는 장비는 추후에 예산 확보되면 신제품으로 구매예정이라고 함.</t>
    <phoneticPr fontId="11" type="noConversion"/>
  </si>
  <si>
    <t xml:space="preserve"> * 유선 안내 / 양기헌
  → 3.17.(월) 방문 예정 안내.
  → 장비 이전 설치건은 나이콤 기술지원에 내용전달(손상오 부장). 비용발생 안내 완료.
 * 3.24 내역 참고. 완료 처리.</t>
    <phoneticPr fontId="11" type="noConversion"/>
  </si>
  <si>
    <t>법제처</t>
    <phoneticPr fontId="11" type="noConversion"/>
  </si>
  <si>
    <t>최혜옥</t>
    <phoneticPr fontId="11" type="noConversion"/>
  </si>
  <si>
    <t xml:space="preserve"> * 스마트도서관 위치 이동 작업</t>
    <phoneticPr fontId="11" type="noConversion"/>
  </si>
  <si>
    <t xml:space="preserve"> * 방문 / 양기헌, 이해진
  → 본관 2층 중앙통로쪽으로 장비 이동.
  → 파워보드 불량 확인. 부품 요청(이준혁 차장. 일정 조율 후 방문 예정 안내.
 * 3.19 내역 참고. 완료 처리.</t>
    <phoneticPr fontId="11" type="noConversion"/>
  </si>
  <si>
    <t>김유리</t>
    <phoneticPr fontId="11" type="noConversion"/>
  </si>
  <si>
    <t xml:space="preserve"> * 유지보수 방문 / 양기헌
  → 3층 후문 분실방지기와 후문 자대기를 용산캠퍼스로 5월 초중에 이동할 예정. 나이콤에서 이동 설치 견적 나감(나이콤 손상오 부장)
  → 2층 데스크 인터넷망 pc 탁스 시리얼 차단되어 있어서 사대리와 전후문 분실방지기 포트가 막힘. 기관에 시리얼 허용 요청.
  → 2층 검색대pc 메인보드 및 HDMI 케이블 불량 확인(PC AS 업체에 문의하도록 안내. 나이콤은 검색대 PC는 단순 1차 점검만 진행하도록 계약되었음 안내.
  → 3층 검색대PC 청구기호 출력기에서 용지가 공란으로 계속 나옴. 해당 건도 PC AS 업체에 문의하도록 안내.
  → 2층 후문 분실방지기 부정도서 알람소리 안들림으로 인한 컨트롤 보드 교체.(IP: 10.200.145.55, GATEWAY: 10.200.145.1, RMOD: 530)
  → 신규 담당자 장비 이용 교육 및 장비 윈도우즈 2차 비번 설정.</t>
    <phoneticPr fontId="11" type="noConversion"/>
  </si>
  <si>
    <t xml:space="preserve"> * 3.13 내역 참고.</t>
    <phoneticPr fontId="11" type="noConversion"/>
  </si>
  <si>
    <t xml:space="preserve"> * 방문 / 양기헌
  → 컨트롤보드 교체.
  → 독서로 연동 안됨으로 나이콤 프로그램 서버 재설치 및 독서로 인증키 갱신(신혜연 과장)
 * 3.20 방문
  → 도서 투입 및 카세트 초기화
  → 독서로로 바뀌면서 등록번호 자릿수가 10자리로 바뀌어 대출반납 및 대출정보가 정상적으로 처리되지 않는 증상 확인 및 조치 완료(연구소 이관)
  → 도서 ISBN이 입력되지 않아있어서 이미지 못불러옴.
  → 장비 전원시간: 02:00 오프 / 04:00 온</t>
    <phoneticPr fontId="11" type="noConversion"/>
  </si>
  <si>
    <t>1510SM</t>
    <phoneticPr fontId="11" type="noConversion"/>
  </si>
  <si>
    <t xml:space="preserve"> * 유선 접수 / 양기헌
  → 확인증 용지가 씹혀서 나옴.</t>
    <phoneticPr fontId="11" type="noConversion"/>
  </si>
  <si>
    <t xml:space="preserve"> * 방문 / 양기헌
  → 덮개 안쪽 구석에 종이 먼지가 쌓여있었음. 제거 후 테스트 완료. 모니터링 안내.</t>
    <phoneticPr fontId="11" type="noConversion"/>
  </si>
  <si>
    <t>신성대학교 기숙사</t>
    <phoneticPr fontId="11" type="noConversion"/>
  </si>
  <si>
    <t xml:space="preserve"> * 3.7 내역 참고.
  → 기숙사 3관 PC에 이용자 게이트 출입 정보 입력할수 있도록 프로그램 설치 요청.</t>
    <phoneticPr fontId="11" type="noConversion"/>
  </si>
  <si>
    <t xml:space="preserve"> * 방문 / 양기헌
  → 기숙사 1관 장애인 게이트 도어 센서가 틀어진 상태에서 무리하게 밀어서 증상 발생한 것으로 보임. 센서는 정상.
  → 게이트 웹서버 페이지
      1관: 172.31.23.250 / 2관: 172.31.30.10 / 172.31.32.241</t>
    <phoneticPr fontId="11" type="noConversion"/>
  </si>
  <si>
    <t xml:space="preserve"> * 3.7 내역 참고.</t>
    <phoneticPr fontId="11" type="noConversion"/>
  </si>
  <si>
    <t>사서용리더기</t>
    <phoneticPr fontId="11" type="noConversion"/>
  </si>
  <si>
    <t xml:space="preserve"> * 유선 접수 / 양기헌
  → 원서 도서를 등록하려고 하는데 안됨. 다른 도서는 된다고 함.</t>
    <phoneticPr fontId="11" type="noConversion"/>
  </si>
  <si>
    <t xml:space="preserve"> * 유선 안내 / 양기헌
  → 일정 확인 후 방문 예정 안내.
 * 3.26 내역 참고. 완료 처리.</t>
    <phoneticPr fontId="11" type="noConversion"/>
  </si>
  <si>
    <t xml:space="preserve"> * 유선 접수 / 양기헌
  → 주말에 도서를 대출할 경우 반납 예정일이 초과가 된다고 함. 라스에서는 정상으로 확인 됨.</t>
    <phoneticPr fontId="11" type="noConversion"/>
  </si>
  <si>
    <t xml:space="preserve"> * 유선 안내 / 양기헌
  → 3.25 방문 예정 안내. 포트 허용 신청 요청.
 * 3.19에 나이콤 스마트팀에서 로미 프로그램 업데이트 함(신운섭 차장)
 * 3.21 내역 참고. 완료 처리.</t>
    <phoneticPr fontId="11" type="noConversion"/>
  </si>
  <si>
    <t>천안여고</t>
    <phoneticPr fontId="11" type="noConversion"/>
  </si>
  <si>
    <t xml:space="preserve"> * 유선 접수 / 양기헌
  → 도서관 이전으로 분실방지기 위치 이동 및 나이콤 장비 프로그램 셋팅 요청.</t>
    <phoneticPr fontId="11" type="noConversion"/>
  </si>
  <si>
    <t xml:space="preserve"> * 유선 안내 / 양기헌
  → 3.26 이후 가능 안내.
  → 학교에서 일정 확인 후 회신주겠다고 함.
 * 4.3 내역 참고. 완료 처리.</t>
    <phoneticPr fontId="11" type="noConversion"/>
  </si>
  <si>
    <r>
      <t xml:space="preserve"> * 유지보수 방문 / 양기헌
  → 2.24 내역 참고.
  → </t>
    </r>
    <r>
      <rPr>
        <sz val="10"/>
        <color theme="1"/>
        <rFont val="맑은 고딕"/>
        <family val="3"/>
        <charset val="129"/>
      </rPr>
      <t>4월 점검일에 300h, 310s 오링 교체 필요.</t>
    </r>
    <r>
      <rPr>
        <sz val="10"/>
        <color rgb="FF000000"/>
        <rFont val="맑은 고딕"/>
        <family val="3"/>
        <charset val="129"/>
      </rPr>
      <t xml:space="preserve">
  → 지하1층, 1층 분실방지기 월별 통계 합산되어 나오는 증상 해결(신혜연 과장)
  → 2620에서 도서 상태가 "재정리"인 도서가 반납 안되도록 수정.
  → 해당일에 키오스크 장비에 대한 통합 전원관리 테스트 해본다고 함(윤승호 대리)</t>
    </r>
    <phoneticPr fontId="11" type="noConversion"/>
  </si>
  <si>
    <t>환경부</t>
    <phoneticPr fontId="11" type="noConversion"/>
  </si>
  <si>
    <t xml:space="preserve"> * 유선 접수 / 양기헌
  → 예약대출기 반납도서 적재함이 움직이지 않음.</t>
    <phoneticPr fontId="11" type="noConversion"/>
  </si>
  <si>
    <t xml:space="preserve"> * 방문 / 양기헌
  → 적재함 수거/배출 버튼이 잘 안눌리는 증상 확인.
  → 가이드 철제판 제거 후 버튼을 직접 누를수 있도록 버튼보드 위치 조정.</t>
    <phoneticPr fontId="11" type="noConversion"/>
  </si>
  <si>
    <t xml:space="preserve"> * 3.21 내역 참고.</t>
    <phoneticPr fontId="11" type="noConversion"/>
  </si>
  <si>
    <t xml:space="preserve"> * 방문 / 양기헌
  → 1층, 2층 자가대출반납기 최신 프로그램 파일 패치(25년 1월 이전 파일은 반납예정일이 주말이 포함되지 않는 증상 확인)
  → 로미 도서 추천기능 업데이트(안상훈 부장 컨펌)
  → 패치 결과: 추천도서 터치 후 17~18초 후에 상세 도서 페이지로 전환됨. 추후 파일 수정하여 패치 예정이라고 함(노학주 차장).</t>
    <phoneticPr fontId="11" type="noConversion"/>
  </si>
  <si>
    <t xml:space="preserve"> * 방문 / 양기헌
  → 일본어 원서 도서 4권이 N블루에서 "책 정보 조회가 실패했습니다"라고 나옴.
  → EM050529 외 4권.
  → 라스상에서 도서명에 &lt;단어&gt;가 중간에 있어서 등록 오류가 발생한 것으로 확인됨.
  → &lt;&gt;를 []로 바꾸어서 수정 적용. 정상 등록 확인(이정중 과장).</t>
    <phoneticPr fontId="11" type="noConversion"/>
  </si>
  <si>
    <t>독서 통장</t>
    <phoneticPr fontId="11" type="noConversion"/>
  </si>
  <si>
    <t xml:space="preserve"> * 3.5 내역 참고.</t>
    <phoneticPr fontId="11" type="noConversion"/>
  </si>
  <si>
    <t xml:space="preserve"> * 유선 접수 / 양기헌
  → 리더기가 안된다고 함(최혜경 사원 접수 건)</t>
    <phoneticPr fontId="11" type="noConversion"/>
  </si>
  <si>
    <t xml:space="preserve"> * 방문 / 양기헌
  → 최혜경 사원 동행
  → PC 하드보안관으로 인해 KDEVICE 컨피그 정보가 바뀜. 수정 후에도 원복되어 하드보안관 삭제 처리(이경재 주임)
  → 테스트 결과 정상작동 확인.</t>
    <phoneticPr fontId="11" type="noConversion"/>
  </si>
  <si>
    <t>용곡중학교</t>
    <phoneticPr fontId="11" type="noConversion"/>
  </si>
  <si>
    <t>S5230</t>
    <phoneticPr fontId="11" type="noConversion"/>
  </si>
  <si>
    <t>도서관</t>
    <phoneticPr fontId="11" type="noConversion"/>
  </si>
  <si>
    <t xml:space="preserve"> * 유선 접수 / 양기헌
  → 나이콤 이정중 과장 접수건
  → 자가대출반납기 전원이 안켜진다고 함.</t>
    <phoneticPr fontId="11" type="noConversion"/>
  </si>
  <si>
    <t xml:space="preserve"> * 방문 / 양기헌
  → 키 전원 케이블 결합불량 확인.
  → 전원키 분실로 나이콤에서 키 배송 예정.</t>
    <phoneticPr fontId="11" type="noConversion"/>
  </si>
  <si>
    <t xml:space="preserve"> * 4월 정기 유지보수</t>
    <phoneticPr fontId="11" type="noConversion"/>
  </si>
  <si>
    <t xml:space="preserve"> * 유지보수 방문 / 양기헌, 최혜경
  → 특이사항 없음.</t>
    <phoneticPr fontId="11" type="noConversion"/>
  </si>
  <si>
    <t xml:space="preserve"> * 4월 정기 유지보수 및 납품</t>
    <phoneticPr fontId="11" type="noConversion"/>
  </si>
  <si>
    <t xml:space="preserve"> * 유지보수 방문 / 양기헌, 최혜경
  → 310S 오링 교체
  → 1510 1대 납품 및 프로그램 셋팅(신혜연 과장)
  → 기존 사용중이던 1500S는 지하1층 행정서고에 보관. 24년도에 교체된 1500S 포함 내부 부품 탈거.</t>
    <phoneticPr fontId="11" type="noConversion"/>
  </si>
  <si>
    <t>충남삼성고</t>
    <phoneticPr fontId="11" type="noConversion"/>
  </si>
  <si>
    <t>전용대</t>
    <phoneticPr fontId="11" type="noConversion"/>
  </si>
  <si>
    <t>4810RA</t>
    <phoneticPr fontId="11" type="noConversion"/>
  </si>
  <si>
    <t xml:space="preserve"> * 유선 접수 / 양기헌
  → 분실방지기 전원이 안들어오고 있다고 함.</t>
    <phoneticPr fontId="11" type="noConversion"/>
  </si>
  <si>
    <t xml:space="preserve"> * 유선 안내 / 양기헌
  → 방문 견적 발송 예정(wjsdydeo1@naver.com)
  → 견적 발송 후 일정 협의 예정 안내.
 * 4.7.(월) 오전 방문 예정 안내.
  → 무상기간(3년)으로 확인 됨.
 * 4.7 방문 / 양기헌, 최혜경
  → 분실방지기 내부 전원 결합부 콘센트 및 랜포트 쪽보드가 절반씩 빠져있었음.
  → 결합 후 정상작동 확인.</t>
    <phoneticPr fontId="11" type="noConversion"/>
  </si>
  <si>
    <t xml:space="preserve"> * 방문 / 양기헌, 최혜경
  → 4810RA 기존 도서관 건물에서 본동 신축 도서관으로 이전 설치.
  → 기존 사용 장비(자대기 2대, 사대리 2대, 무인반납기 1대) 점검 및 소모품 교체.
  → 분실방지기와 서가 및 데스크 위치가 가까움(1.5M 이내). 간헐적으로 사람만 지나가도 부정도서 알람이 울림.
  → 담당자 인지 완료. 서가 위치 또는 도서 위치 고려해본다고 함.</t>
    <phoneticPr fontId="11" type="noConversion"/>
  </si>
  <si>
    <t>2,3층</t>
    <phoneticPr fontId="11" type="noConversion"/>
  </si>
  <si>
    <t xml:space="preserve"> * 유선 접수 / 양기헌
  → 무인반납기에 반납된 타관도서가 라스상에서 비치중 상태로 나온다고 함.
  → 타관 라스에서도 같은 상태이며, 타관도서가 자관에서 반납될 경우 라스상에 반납처리되는 것이 아니라 책두레 도서나 타관도서(상호대차 도서)로 나와야 할거 같다고 하심.</t>
    <phoneticPr fontId="11" type="noConversion"/>
  </si>
  <si>
    <t xml:space="preserve"> * 유선 안내 / 양기헌
  → 4.10 오전 방문 예정 안내. 장비 포트 허용 신청 요청.
 * 4.10 내역 참고. 완료 처리.</t>
    <phoneticPr fontId="11" type="noConversion"/>
  </si>
  <si>
    <t xml:space="preserve"> * 4.9 내역 참고.</t>
    <phoneticPr fontId="11" type="noConversion"/>
  </si>
  <si>
    <t xml:space="preserve"> * 방문 / 양기헌
  → 25년 4월부 유지보수 시작
  → 무인반납기에서 타관도서 반납할 경우 라스에서 대출중으로 나오도록 수정(장유나 사원). 장비에서는 일반 자관 반납처럼 반납되어짐(이용자 시점).
  → 1층 자대기 서브 모니터 화면 결함으로 교체 예정(이준혁 차장).
  → 2층 자대기 컨트롤보드 결함으로 인한 교체 예정(리프트가 안움직임, 이영현 차장)
 * 4.16 방문
  → 1층 어린이실 자대기 미니모니터 교체. 테스트 정상 확인.
  → 2층 자대기 컨트롤보드 교체. 리프트 및 정상작동 확인.</t>
    <phoneticPr fontId="11" type="noConversion"/>
  </si>
  <si>
    <t xml:space="preserve"> * 유지보수 방문 / 양기헌
  → 분실방지 프로그램 중복 실행 되어있었음(3개).
  → 부정도서가 없는데 안테나에 빨간불이 들어오는 경우가 있다고 함. 그럴 경우 부정도서를 지나가도 소리가 안나고 목록도 안나온다고 함. 모니터링 안내.</t>
    <phoneticPr fontId="11" type="noConversion"/>
  </si>
  <si>
    <t xml:space="preserve"> * 유지보수 방문 / 양기헌, 최혜경
  → 5층 자대기 확인증 프린터 전원 케이블 불량으로 인한 교체 필요.
  → 4층 분실방지기에서 북트럭으로 도서를 운반할때 2, 3일에 한번씩 부정도서 알람이 안울린다고 함.
 * 추가 동일 증상접수 없음으로 모니터링.</t>
    <phoneticPr fontId="11" type="noConversion"/>
  </si>
  <si>
    <t xml:space="preserve"> * 유지보수 방문 / 양기헌, 최혜경
  → 1층 자대기에서 대출반납 시도시 관리자에게 문의하라는 메시지 나옴.
  → 기관에서 네트워크 유지보수 업체인 인포텍에 문의. 서버 연결이 불안정하다는 답변을 받았다고 함. 방화벽 문제로 의심됨.
  → 테스트 결과 정상 작동 확인.</t>
    <phoneticPr fontId="11" type="noConversion"/>
  </si>
  <si>
    <t xml:space="preserve"> * 4.10 내역 참고.</t>
    <phoneticPr fontId="11" type="noConversion"/>
  </si>
  <si>
    <t xml:space="preserve"> * 방문 / 양기헌
  → 분실방지기 상호대차 도서 이동간 테스트(심소혜 대리)
  → 상호대차 부정도서 테스트시 증상은 안나왔음. 프로그램 신버젼으로 패치하였으나 카운팅 오류로 원복. 연구소 이관.
  → 4.21.(월) 재방문 안내.
 * 4.21 방문 / 양기헌
  → 상호대차 출입간 증상 확인.
  → 메인 컨트롤보드 불량 의심. 교체 예정(이준혁 차장)
  → 부품 교체 후 최신 프로그램으로 패치 예정(김소혜 대리, 한진규 사원)
 * 4.29 내역 참고. 완료 처리.</t>
    <phoneticPr fontId="11" type="noConversion"/>
  </si>
  <si>
    <t xml:space="preserve"> * 유지보수 방문 / 양기헌, 최혜경
  → 후면 도어 모터기어 가이드부 나사 분실로 인한 추가 나사 결합 필요 확인. 나사 확보 후 재방문 예정
  → 4.28에 나이콤 이준혁 차장과 방문 예정. 체크리스트에 의한 점검 방법 교육 진행 예정(이준혁 차장).
 * 4.29 내역 참고. 완료 처리.</t>
    <phoneticPr fontId="11" type="noConversion"/>
  </si>
  <si>
    <t>기숙사 3관</t>
    <phoneticPr fontId="11" type="noConversion"/>
  </si>
  <si>
    <t xml:space="preserve"> * 유선 접수 / 양기헌
  → 3관 입구 왼쪽 날개가 안움직인다고 함.</t>
    <phoneticPr fontId="11" type="noConversion"/>
  </si>
  <si>
    <t xml:space="preserve"> * 유선 안내 / 양기헌
  → 4.18 방문 예정 안내.
 * 4.18 방문 / 양기헌
  → 게이트 양옆 제일 바깥쪽 날개가 동작하지 않고 있었음.
  → 입구쪽 바깥 날개는 손으로 움직임
  → 출구쪽 바깥 날개는 손으로 안움직임(모니터링 후 동일 증상 발생시 하부 근접센서 교체 필요).
  → 전원콘솔 led에 ERHN 확인. 콘솔 재부팅. 메인부 장비 전원 재부팅 및 정상작동 확인.</t>
    <phoneticPr fontId="11" type="noConversion"/>
  </si>
  <si>
    <t>천희수</t>
    <phoneticPr fontId="11" type="noConversion"/>
  </si>
  <si>
    <t xml:space="preserve"> * 유선 접수 / 양기헌
  → 화면이 갑자기 꺼졌다고 함. 재부팅해봐도 증상 동일.</t>
    <phoneticPr fontId="11" type="noConversion"/>
  </si>
  <si>
    <t xml:space="preserve"> * 유선 안내 / 양기헌
  → 4.22.(화) 방문 예정 안내.
 * 4.22 방문 / 양기헌
  → 장비 모니터 백라이트 나감. 교체 필요. 부품 요청(이준혁 차장)
  → 부품 수급 후 재방문 예정 안내.
 * 4.24 방문 / 양기헌
  → 모니터 터치 시리얼 인식 오류 확인
  → 4.29에 재방문 예정(4.28에 새로운 모니터 수령 / 이준혁 차장)
 * 4.29 방문 / 양기헌
  → 4.24에 교체한 기존 터치 모니터 케이블 연결 불량 확인. 연결 후 정상작동 확인.</t>
    <phoneticPr fontId="11" type="noConversion"/>
  </si>
  <si>
    <t xml:space="preserve"> * 문자 접수 / 양기헌
  → 4단 초기화 실패 자동문자 수신.</t>
    <phoneticPr fontId="11" type="noConversion"/>
  </si>
  <si>
    <t xml:space="preserve"> * 방문 / 양기헌
  → 4단 투입구에 도서 걸림.
  → 해당 도서 제거 및 목록 삭제 후 재투입. 테스트 시 정상작동 확인.</t>
    <phoneticPr fontId="11" type="noConversion"/>
  </si>
  <si>
    <t xml:space="preserve"> * 유선 접수 / 최혜경
  → 자대기 확인증부에서 스파크가 나는거 같다고 함.</t>
    <phoneticPr fontId="11" type="noConversion"/>
  </si>
  <si>
    <t xml:space="preserve"> * 방문 / 양기헌, 최혜경
  → 확인증부 전원 케이블 불량으로 인한 쇼트 확인.
  → 해당 케이블 교체 및 정상작동 확인. 모니터링 안내.</t>
    <phoneticPr fontId="11" type="noConversion"/>
  </si>
  <si>
    <t xml:space="preserve"> * 4월 유지보수 방문</t>
    <phoneticPr fontId="11" type="noConversion"/>
  </si>
  <si>
    <t xml:space="preserve"> * 4.17 내역 참고.</t>
    <phoneticPr fontId="11" type="noConversion"/>
  </si>
  <si>
    <t xml:space="preserve"> * 방문 / 양기헌
  → 체크리스트에 의한 점검 방법 교육(이준혁 차장)
  → 후면 도어 모터기어 가이드부에는 기존 결합되어있던 나사 2개로 사용(이준혁 차장)</t>
    <phoneticPr fontId="11" type="noConversion"/>
  </si>
  <si>
    <t xml:space="preserve"> * 5월 유지보수 방문</t>
    <phoneticPr fontId="11" type="noConversion"/>
  </si>
  <si>
    <t xml:space="preserve"> * 5월 유지보수 방문
  → 좌석발급기를 2026년에 교체 예정으로 접근성 강화 기능이 추가 되는지 문의.</t>
    <phoneticPr fontId="11" type="noConversion"/>
  </si>
  <si>
    <t xml:space="preserve"> * 유지보수 방문 / 양기헌
  → 나이콤 김신호 차장 문의 결과. 1510SM은 접근성 강화 기능은 없으며 하드웨어 모듈은 설치 가능하나 현재 적용 사례는 없음. 또한 소프트웨어 개발중이라고 함. 나이콤 내부에서 해당 모델의 접근성강화 기능 탑재 여부를 논의중임.</t>
    <phoneticPr fontId="11" type="noConversion"/>
  </si>
  <si>
    <t xml:space="preserve"> * 유지보수 방문 / 양기헌
  → 소형반납기 트레이 기울어짐 확인.
  → 트레이 나사 조임 조정 및 모터기어부 위치 조정</t>
    <phoneticPr fontId="11" type="noConversion"/>
  </si>
  <si>
    <t xml:space="preserve"> * 유선 접수 / 양기헌
  → 독서통장이 낮시간에 간헐적으로 꺼지고, 오후 7시 정도에도 꺼진다고 함.</t>
    <phoneticPr fontId="11" type="noConversion"/>
  </si>
  <si>
    <t xml:space="preserve"> * 유선 안내 / 양기헌
  → 원격 처리(나이콤 장유나 사원)
  → 윈도우 자동 업데이트 오류로 인한 장비 전원 꺼짐 현상확인. 자동 업데이트 실행되지 않도록 설정 수정.
  → 작업스케쥴러 전원 오프 시간기 07:00와 09:10으로 두 가지가 셋팅 되어 있었음. 07:00 설정은 해제.</t>
    <phoneticPr fontId="11" type="noConversion"/>
  </si>
  <si>
    <t>25개</t>
    <phoneticPr fontId="14" type="noConversion"/>
  </si>
  <si>
    <t>73개</t>
    <phoneticPr fontId="14" type="noConversion"/>
  </si>
  <si>
    <t xml:space="preserve">품목 </t>
    <phoneticPr fontId="14" type="noConversion"/>
  </si>
  <si>
    <t>169개</t>
    <phoneticPr fontId="14" type="noConversion"/>
  </si>
  <si>
    <t>SITE</t>
    <phoneticPr fontId="14" type="noConversion"/>
  </si>
  <si>
    <t>78개</t>
    <phoneticPr fontId="14" type="noConversion"/>
  </si>
  <si>
    <t>유상유지보수</t>
    <phoneticPr fontId="14" type="noConversion"/>
  </si>
  <si>
    <t>26개</t>
    <phoneticPr fontId="14" type="noConversion"/>
  </si>
  <si>
    <t>한국기술교육대학
(다산정보관)</t>
    <phoneticPr fontId="11" type="noConversion"/>
  </si>
  <si>
    <t>단국대학교
(율곡기념도서관)</t>
    <phoneticPr fontId="11" type="noConversion"/>
  </si>
  <si>
    <t>쌍용도서관</t>
  </si>
  <si>
    <t>성거도서관</t>
  </si>
  <si>
    <t>도솔도서관</t>
  </si>
  <si>
    <t>아산시중앙도서관</t>
    <phoneticPr fontId="14" type="noConversion"/>
  </si>
  <si>
    <t>성환도서관</t>
  </si>
  <si>
    <t>순천향대학교 아산캠퍼스</t>
  </si>
  <si>
    <t>아산시중앙도서관</t>
    <phoneticPr fontId="11" type="noConversion"/>
  </si>
  <si>
    <t>서산시립도서관</t>
  </si>
  <si>
    <t>신성대학교 기숙사 1.2.3.관</t>
  </si>
  <si>
    <t>아산도서관(교육지원청)</t>
  </si>
  <si>
    <t>신성대학교 도서관</t>
    <phoneticPr fontId="11" type="noConversion"/>
  </si>
  <si>
    <t>국립세종도서관
(환경부/공정위/중앙동)</t>
    <phoneticPr fontId="11" type="noConversion"/>
  </si>
  <si>
    <t>신성대학교 도서관</t>
    <phoneticPr fontId="14" type="noConversion"/>
  </si>
  <si>
    <t>법제처</t>
  </si>
  <si>
    <t>당진중앙도서관</t>
  </si>
  <si>
    <t>KDI국제정책대학원</t>
  </si>
  <si>
    <t>고운동 복합커뮤니티센터 5층</t>
  </si>
  <si>
    <t>보람동 복합커뮤니티센터 5층</t>
    <phoneticPr fontId="11" type="noConversion"/>
  </si>
  <si>
    <t>소담동 복합커뮤니티센터 4층</t>
    <phoneticPr fontId="11" type="noConversion"/>
  </si>
  <si>
    <t>세종시립도서관</t>
  </si>
  <si>
    <t>홍익대학교 세종캠퍼스</t>
  </si>
  <si>
    <t>나성동 복합커뮤니티센터</t>
  </si>
  <si>
    <t>싱싱장터 작은도서관</t>
  </si>
  <si>
    <t>연동면 복합커뮤니티센터</t>
  </si>
  <si>
    <t>남부평생교육원</t>
  </si>
  <si>
    <t>논산열린도서관</t>
    <phoneticPr fontId="14" type="noConversion"/>
  </si>
  <si>
    <t>국방대학교</t>
    <phoneticPr fontId="14" type="noConversion"/>
  </si>
  <si>
    <t>어진동 복합커뮤니티센터</t>
  </si>
  <si>
    <t>전의면 복합커뮤니티센터
(전의나무도서관)</t>
    <phoneticPr fontId="11" type="noConversion"/>
  </si>
  <si>
    <t>조치원읍 복합커뮤니티센터</t>
    <phoneticPr fontId="11" type="noConversion"/>
  </si>
  <si>
    <t>육군방공학교</t>
    <phoneticPr fontId="11" type="noConversion"/>
  </si>
  <si>
    <t>육군본부도서관</t>
  </si>
  <si>
    <t>육군교육지원사령부</t>
  </si>
  <si>
    <t>백석중학교</t>
  </si>
  <si>
    <t>안서초등학교</t>
  </si>
  <si>
    <t>천안여자고등학교</t>
  </si>
  <si>
    <t>천안두정초등학교</t>
  </si>
  <si>
    <t>충남삼성고등학교</t>
  </si>
  <si>
    <t>온양신정중학교</t>
  </si>
  <si>
    <t>논산고등학교</t>
  </si>
  <si>
    <t>기민중학교</t>
  </si>
  <si>
    <t>벌곡초등학교</t>
  </si>
  <si>
    <t>보령성주초등학교</t>
  </si>
  <si>
    <t>보령주포초등학교</t>
  </si>
  <si>
    <t>보령송학초등학교</t>
  </si>
  <si>
    <t>서천판교중학교</t>
  </si>
  <si>
    <t>태안여자고등학교</t>
  </si>
  <si>
    <t>서산고등학교</t>
  </si>
  <si>
    <t>세종이음학교</t>
  </si>
  <si>
    <t>당진도서관</t>
  </si>
  <si>
    <t>국립생태원(서천)</t>
  </si>
  <si>
    <t>서천장항도서관</t>
  </si>
  <si>
    <t>공주대학교 천안캠퍼스</t>
  </si>
  <si>
    <t>연암대학교 도서관</t>
  </si>
  <si>
    <t>대통령기록관(세종)</t>
  </si>
  <si>
    <t>아산탕정온샘</t>
  </si>
  <si>
    <t>계룡도서관</t>
  </si>
  <si>
    <t>계룡엄사도서관</t>
  </si>
  <si>
    <t>한서대학교</t>
  </si>
  <si>
    <t>서산해미도서관</t>
  </si>
  <si>
    <t>서산 수림작은도서관</t>
  </si>
  <si>
    <t>충남태안도서관</t>
  </si>
  <si>
    <t>충남서천도서관</t>
  </si>
  <si>
    <t>아산시립어린이도서관</t>
  </si>
  <si>
    <t>꿈샘어린이청소년도서관</t>
  </si>
  <si>
    <t>아산둔포도서관</t>
  </si>
  <si>
    <t>송곡도서관</t>
  </si>
  <si>
    <t>배방도서관</t>
  </si>
  <si>
    <t>아산시음봉어울샘도서관</t>
  </si>
  <si>
    <t>중부도시가스(JB주식회사)</t>
    <phoneticPr fontId="15" type="noConversion"/>
  </si>
  <si>
    <t>천안시중앙도서관</t>
    <phoneticPr fontId="11" type="noConversion"/>
  </si>
  <si>
    <t>논산어린이청소년도서관</t>
    <phoneticPr fontId="11" type="noConversion"/>
  </si>
  <si>
    <t>아산시거산초등학교</t>
    <phoneticPr fontId="11" type="noConversion"/>
  </si>
  <si>
    <t>천안시 직산도서관</t>
    <phoneticPr fontId="11" type="noConversion"/>
  </si>
  <si>
    <t>천안백석초등학교</t>
    <phoneticPr fontId="11" type="noConversion"/>
  </si>
  <si>
    <t>천안시 두정도서관</t>
    <phoneticPr fontId="11" type="noConversion"/>
  </si>
  <si>
    <t>아산시 온담작은도서관</t>
    <phoneticPr fontId="11" type="noConversion"/>
  </si>
  <si>
    <t>2025년 유지보수 현황</t>
    <phoneticPr fontId="11" type="noConversion"/>
  </si>
  <si>
    <t>25.01.02 / 09:30</t>
    <phoneticPr fontId="11" type="noConversion"/>
  </si>
  <si>
    <t>No.</t>
  </si>
  <si>
    <t>고객명</t>
    <phoneticPr fontId="11" type="noConversion"/>
  </si>
  <si>
    <t>구분</t>
    <phoneticPr fontId="11" type="noConversion"/>
  </si>
  <si>
    <t>담당자</t>
  </si>
  <si>
    <t>직장</t>
    <phoneticPr fontId="11" type="noConversion"/>
  </si>
  <si>
    <t>핸드폰</t>
    <phoneticPr fontId="11" type="noConversion"/>
  </si>
  <si>
    <t>이메일</t>
    <phoneticPr fontId="11" type="noConversion"/>
  </si>
  <si>
    <t>장비명</t>
    <phoneticPr fontId="11" type="noConversion"/>
  </si>
  <si>
    <t>수량</t>
    <phoneticPr fontId="11" type="noConversion"/>
  </si>
  <si>
    <t>설치위치</t>
    <phoneticPr fontId="11" type="noConversion"/>
  </si>
  <si>
    <t>납품연도</t>
    <phoneticPr fontId="11" type="noConversion"/>
  </si>
  <si>
    <t>점검주기</t>
    <phoneticPr fontId="11" type="noConversion"/>
  </si>
  <si>
    <t>사이트기준</t>
    <phoneticPr fontId="11" type="noConversion"/>
  </si>
  <si>
    <t>청구처</t>
    <phoneticPr fontId="11" type="noConversion"/>
  </si>
  <si>
    <t>청구주기</t>
    <phoneticPr fontId="11" type="noConversion"/>
  </si>
  <si>
    <t>참고사항</t>
    <phoneticPr fontId="11" type="noConversion"/>
  </si>
  <si>
    <t>NICOM</t>
    <phoneticPr fontId="11" type="noConversion"/>
  </si>
  <si>
    <t>041-560-1385</t>
    <phoneticPr fontId="11" type="noConversion"/>
  </si>
  <si>
    <t>010-2847-4988</t>
    <phoneticPr fontId="11" type="noConversion"/>
  </si>
  <si>
    <t>dkdp56@koreatech.ac.kr</t>
    <phoneticPr fontId="11" type="noConversion"/>
  </si>
  <si>
    <t>200E 2</t>
    <phoneticPr fontId="11" type="noConversion"/>
  </si>
  <si>
    <t>3F</t>
    <phoneticPr fontId="11" type="noConversion"/>
  </si>
  <si>
    <t>2009년</t>
    <phoneticPr fontId="11" type="noConversion"/>
  </si>
  <si>
    <t>월</t>
    <phoneticPr fontId="11" type="noConversion"/>
  </si>
  <si>
    <t>나이콤</t>
    <phoneticPr fontId="11" type="noConversion"/>
  </si>
  <si>
    <t>* 200E 2 / 3층 데스크 옆.</t>
    <phoneticPr fontId="11" type="noConversion"/>
  </si>
  <si>
    <t>1F</t>
    <phoneticPr fontId="11" type="noConversion"/>
  </si>
  <si>
    <t>2016년(2) / 2021년(1)</t>
    <phoneticPr fontId="11" type="noConversion"/>
  </si>
  <si>
    <t>* 300H / 1층 로비(2대), 1층 후문 방풍실(1대, 21년 납품)</t>
  </si>
  <si>
    <t>041-550-1621</t>
  </si>
  <si>
    <t>namhea@dankook.ac.kr</t>
    <phoneticPr fontId="11" type="noConversion"/>
  </si>
  <si>
    <t>2020년</t>
    <phoneticPr fontId="11" type="noConversion"/>
  </si>
  <si>
    <t>2/5/8/11월 청구</t>
    <phoneticPr fontId="11" type="noConversion"/>
  </si>
  <si>
    <t>* 매월 15일 고정 방문 요청.
* 나이콤 송선아 과장 서류 처리.
* 방학기간중 15:00까지 단축근무.</t>
    <phoneticPr fontId="11" type="noConversion"/>
  </si>
  <si>
    <t>041-521-3879</t>
  </si>
  <si>
    <t>010-3581-4663</t>
    <phoneticPr fontId="11" type="noConversion"/>
  </si>
  <si>
    <t>alswls2@korea.kr</t>
    <phoneticPr fontId="11" type="noConversion"/>
  </si>
  <si>
    <t>1F, 2F</t>
    <phoneticPr fontId="11" type="noConversion"/>
  </si>
  <si>
    <t>* 천안시 공공도서관 매월 둘째주 한 점검 완료 요청</t>
    <phoneticPr fontId="11" type="noConversion"/>
  </si>
  <si>
    <t>2023년</t>
    <phoneticPr fontId="11" type="noConversion"/>
  </si>
  <si>
    <t>* 23년 1월 30일 2550 1대 납품(3층 자료실)</t>
    <phoneticPr fontId="11" type="noConversion"/>
  </si>
  <si>
    <t>041-521-3853</t>
    <phoneticPr fontId="11" type="noConversion"/>
  </si>
  <si>
    <t>lmk1120@korea.kr</t>
    <phoneticPr fontId="11" type="noConversion"/>
  </si>
  <si>
    <t>* 천안시 공공도서관 매월 둘째주 한 점검 완료 요청</t>
  </si>
  <si>
    <t>041-521-3912</t>
    <phoneticPr fontId="11" type="noConversion"/>
  </si>
  <si>
    <t>010-5104-3514</t>
    <phoneticPr fontId="11" type="noConversion"/>
  </si>
  <si>
    <t>Kimek310@korea.kr</t>
    <phoneticPr fontId="11" type="noConversion"/>
  </si>
  <si>
    <t>2F</t>
    <phoneticPr fontId="11" type="noConversion"/>
  </si>
  <si>
    <t>전서경</t>
  </si>
  <si>
    <t>041-581-9962</t>
    <phoneticPr fontId="11" type="noConversion"/>
  </si>
  <si>
    <t>010-6405-6978</t>
  </si>
  <si>
    <t>9110HRS</t>
  </si>
  <si>
    <t>2021년</t>
    <phoneticPr fontId="11" type="noConversion"/>
  </si>
  <si>
    <t>나이콤</t>
  </si>
  <si>
    <t>* 21년 11월 19일 납품</t>
  </si>
  <si>
    <t>041-530-6729</t>
    <phoneticPr fontId="11" type="noConversion"/>
  </si>
  <si>
    <t>010-2708-3307</t>
    <phoneticPr fontId="11" type="noConversion"/>
  </si>
  <si>
    <t>외부부스</t>
    <phoneticPr fontId="11" type="noConversion"/>
  </si>
  <si>
    <t>2018년</t>
    <phoneticPr fontId="11" type="noConversion"/>
  </si>
  <si>
    <t>유상</t>
  </si>
  <si>
    <t>* 유지보수 계약은 아산시중앙도서관임. 
 → 관리 도서관: 꿈샘어린이청소년 도서관.
* 충남일자리경제진흥원 정문 옆 부스 위치</t>
    <phoneticPr fontId="11" type="noConversion"/>
  </si>
  <si>
    <t>041-530-6606</t>
    <phoneticPr fontId="11" type="noConversion"/>
  </si>
  <si>
    <t>010-3056-2919</t>
    <phoneticPr fontId="11" type="noConversion"/>
  </si>
  <si>
    <t>kyka1919@korea.kr</t>
    <phoneticPr fontId="11" type="noConversion"/>
  </si>
  <si>
    <t>허성회</t>
  </si>
  <si>
    <t>041-530-1406</t>
    <phoneticPr fontId="11" type="noConversion"/>
  </si>
  <si>
    <t>010-8316-1155</t>
  </si>
  <si>
    <t>shheo@sch.ac.kr</t>
    <phoneticPr fontId="11" type="noConversion"/>
  </si>
  <si>
    <t>1,2,3,4F</t>
    <phoneticPr fontId="11" type="noConversion"/>
  </si>
  <si>
    <t>2016년</t>
    <phoneticPr fontId="11" type="noConversion"/>
  </si>
  <si>
    <t>미계약</t>
    <phoneticPr fontId="11" type="noConversion"/>
  </si>
  <si>
    <t>* 점검 및 작업 후 피드백 필수
* 좌석발급기: 1층(멀티미디어실), 2층(로비), 3층(열람실 앞), 4층(열람실 앞)
* 24년 10월 부 폐기.</t>
    <phoneticPr fontId="11" type="noConversion"/>
  </si>
  <si>
    <t>3F, 4F</t>
    <phoneticPr fontId="11" type="noConversion"/>
  </si>
  <si>
    <t>2017년</t>
    <phoneticPr fontId="11" type="noConversion"/>
  </si>
  <si>
    <t>백인솔</t>
  </si>
  <si>
    <t>041-541-1020</t>
    <phoneticPr fontId="11" type="noConversion"/>
  </si>
  <si>
    <t>010-3782-9153</t>
  </si>
  <si>
    <t>2022년</t>
    <phoneticPr fontId="11" type="noConversion"/>
  </si>
  <si>
    <t>기관청구</t>
    <phoneticPr fontId="11" type="noConversion"/>
  </si>
  <si>
    <t>* 22년 12.1 장비 납품
* 소형반납기 고려중</t>
    <phoneticPr fontId="11" type="noConversion"/>
  </si>
  <si>
    <t>041-661-8064</t>
    <phoneticPr fontId="11" type="noConversion"/>
  </si>
  <si>
    <t>010-2333-9286</t>
    <phoneticPr fontId="11" type="noConversion"/>
  </si>
  <si>
    <t xml:space="preserve">	ahn9286@korea.kr</t>
    <phoneticPr fontId="11" type="noConversion"/>
  </si>
  <si>
    <t>2013년</t>
    <phoneticPr fontId="11" type="noConversion"/>
  </si>
  <si>
    <t>격월</t>
    <phoneticPr fontId="11" type="noConversion"/>
  </si>
  <si>
    <t xml:space="preserve">* 격월 유지보수
* 310S 유지보수 담당자는 방승창 주무관임
* 24.07.03 1510SM 납품(유지보수 계약 담당: 박병환 / 010-8817-1617) </t>
    <phoneticPr fontId="11" type="noConversion"/>
  </si>
  <si>
    <t>수시</t>
    <phoneticPr fontId="11" type="noConversion"/>
  </si>
  <si>
    <t xml:space="preserve">* 24.07.03 1510SM 납품(유지보수 계약 담당: 박병환 / 010-8817-1617) </t>
    <phoneticPr fontId="11" type="noConversion"/>
  </si>
  <si>
    <t>onebigpine@korea.kr</t>
    <phoneticPr fontId="11" type="noConversion"/>
  </si>
  <si>
    <t>성헌경</t>
  </si>
  <si>
    <t>041-350-1127</t>
    <phoneticPr fontId="11" type="noConversion"/>
  </si>
  <si>
    <t>010-3246-3233</t>
    <phoneticPr fontId="11" type="noConversion"/>
  </si>
  <si>
    <t>free3322@hanmail.net</t>
    <phoneticPr fontId="11" type="noConversion"/>
  </si>
  <si>
    <t>2015년</t>
    <phoneticPr fontId="11" type="noConversion"/>
  </si>
  <si>
    <t>* 1관: 한춘숙(010-2270-8963), 2관: 성헌경, 3관: 윤수지(010-6266-9234)
* 각 기숙사 별로 2대씩(세트) 위치</t>
    <phoneticPr fontId="11" type="noConversion"/>
  </si>
  <si>
    <t>신성대학교</t>
  </si>
  <si>
    <t>이시은</t>
  </si>
  <si>
    <t>041-350-1102</t>
    <phoneticPr fontId="11" type="noConversion"/>
  </si>
  <si>
    <t>010-9083-7154</t>
    <phoneticPr fontId="11" type="noConversion"/>
  </si>
  <si>
    <t>naias74@shinsung.ac.kr</t>
    <phoneticPr fontId="11" type="noConversion"/>
  </si>
  <si>
    <t>분기</t>
    <phoneticPr fontId="11" type="noConversion"/>
  </si>
  <si>
    <t>* 분기별 유지보수(25년 부 계약 진행 확인 필요)
* 23.2.28 / 게이트 신규 납품(도서관) / 기존사용 1400FG는 폐기처리
* 23.12.15 / 295RS, 1510SM 납품</t>
    <phoneticPr fontId="11" type="noConversion"/>
  </si>
  <si>
    <t>295RS</t>
    <phoneticPr fontId="11" type="noConversion"/>
  </si>
  <si>
    <t>* 23.12.15 / 295RS, 1510SM 납품</t>
  </si>
  <si>
    <t>2201WG</t>
    <phoneticPr fontId="11" type="noConversion"/>
  </si>
  <si>
    <t>* 23.2.28 / 게이트 신규 납품(도서관)</t>
  </si>
  <si>
    <t>RD900U</t>
    <phoneticPr fontId="11" type="noConversion"/>
  </si>
  <si>
    <t>2019년</t>
    <phoneticPr fontId="11" type="noConversion"/>
  </si>
  <si>
    <t>DT910U</t>
    <phoneticPr fontId="11" type="noConversion"/>
  </si>
  <si>
    <t>김지은</t>
  </si>
  <si>
    <t>041-360-6872</t>
    <phoneticPr fontId="11" type="noConversion"/>
  </si>
  <si>
    <t>010-4579-0566</t>
    <phoneticPr fontId="11" type="noConversion"/>
  </si>
  <si>
    <t>kimjieun0116@korea.kr</t>
    <phoneticPr fontId="11" type="noConversion"/>
  </si>
  <si>
    <t>* 22년 6월 15일 설치
* 23년 9월부 유지보수 계약 체결(4개월 간) / 24년 신규계약 예정</t>
    <phoneticPr fontId="11" type="noConversion"/>
  </si>
  <si>
    <t>양재모
윤승호</t>
    <phoneticPr fontId="11" type="noConversion"/>
  </si>
  <si>
    <t>010-6409-6474
010-2780-1296</t>
    <phoneticPr fontId="11" type="noConversion"/>
  </si>
  <si>
    <t xml:space="preserve">	jmyang@korea.kr
shyoon88@korea.kr</t>
    <phoneticPr fontId="11" type="noConversion"/>
  </si>
  <si>
    <t>460RA</t>
    <phoneticPr fontId="11" type="noConversion"/>
  </si>
  <si>
    <t>B1F, 1F</t>
    <phoneticPr fontId="11" type="noConversion"/>
  </si>
  <si>
    <t>* 22.8.28 정식 재개관.
* 우선순위 교체장비 리스트 발송 완료.
* 23.9.7 / 9110HRS 납품(중앙동), 무상
 → 중앙동 출입시 사전 신청해야함(청사 홈페이지).
* 920SG: 환경부(6동, 종합매장), 공정위(2동, 농협은행 앞)
 → 사전신청 필요 없음. 인솔자 인솔 필요 없음.
* 사서용리더기는 업무 사무실에서 사용하기도 함(정확한 위치 확인 제한)</t>
    <phoneticPr fontId="11" type="noConversion"/>
  </si>
  <si>
    <t>2013년(1), 2015년(1)</t>
    <phoneticPr fontId="11" type="noConversion"/>
  </si>
  <si>
    <t>B1F,1,2F</t>
    <phoneticPr fontId="11" type="noConversion"/>
  </si>
  <si>
    <t>2013년(4), 2017년(1)</t>
    <phoneticPr fontId="11" type="noConversion"/>
  </si>
  <si>
    <t>100RD</t>
    <phoneticPr fontId="11" type="noConversion"/>
  </si>
  <si>
    <t>2018년(2), 2020년(1), 2021년(1)</t>
    <phoneticPr fontId="11" type="noConversion"/>
  </si>
  <si>
    <t>* 방풍실 위치</t>
    <phoneticPr fontId="11" type="noConversion"/>
  </si>
  <si>
    <t>* 920SG: 환경부(6동, 종합매장), 공정위(2동, 농협은행 앞)
 → 사전신청 필요 없음. 인솔자 인솔 필요 없음.</t>
    <phoneticPr fontId="11" type="noConversion"/>
  </si>
  <si>
    <t>2620HSC</t>
    <phoneticPr fontId="11" type="noConversion"/>
  </si>
  <si>
    <t>2024년</t>
    <phoneticPr fontId="11" type="noConversion"/>
  </si>
  <si>
    <t>* 나이콤 마케팅 무상 납품. 24년 10월 14일 설치(나이콤 이준혁 차장)</t>
    <phoneticPr fontId="11" type="noConversion"/>
  </si>
  <si>
    <t>044-200-6806</t>
  </si>
  <si>
    <t xml:space="preserve">	hyewook@korea.kr</t>
    <phoneticPr fontId="11" type="noConversion"/>
  </si>
  <si>
    <t>4F</t>
    <phoneticPr fontId="11" type="noConversion"/>
  </si>
  <si>
    <t>* 분기별 유지보수
* 20일 이전에 유지보수 완료 요청(비인텍 010-9557-7746)
* 일주일전 방문 일정 협의(월요일 방문X, 13~15시 사이 방문 선호)
 → 인솔자 인솔 필요.</t>
    <phoneticPr fontId="11" type="noConversion"/>
  </si>
  <si>
    <t>290RS</t>
    <phoneticPr fontId="11" type="noConversion"/>
  </si>
  <si>
    <t>930S</t>
    <phoneticPr fontId="11" type="noConversion"/>
  </si>
  <si>
    <t>배은주</t>
  </si>
  <si>
    <t>044-550-1282</t>
    <phoneticPr fontId="11" type="noConversion"/>
  </si>
  <si>
    <t>010-9149-1595</t>
  </si>
  <si>
    <t xml:space="preserve">	bej@kdischool.ac.kr</t>
    <phoneticPr fontId="11" type="noConversion"/>
  </si>
  <si>
    <t>044-301-6662</t>
    <phoneticPr fontId="11" type="noConversion"/>
  </si>
  <si>
    <t>010-3301-5462</t>
    <phoneticPr fontId="11" type="noConversion"/>
  </si>
  <si>
    <t xml:space="preserve">	yohannes@korea.kr</t>
    <phoneticPr fontId="11" type="noConversion"/>
  </si>
  <si>
    <t>5F</t>
    <phoneticPr fontId="11" type="noConversion"/>
  </si>
  <si>
    <t>2016년(1), 2017년(1)</t>
    <phoneticPr fontId="11" type="noConversion"/>
  </si>
  <si>
    <t>230RS</t>
    <phoneticPr fontId="11" type="noConversion"/>
  </si>
  <si>
    <t>구채영</t>
  </si>
  <si>
    <t>044-301-6762</t>
    <phoneticPr fontId="11" type="noConversion"/>
  </si>
  <si>
    <t>010-2297-1723</t>
  </si>
  <si>
    <t xml:space="preserve">	lisgcy09@korea.kr</t>
    <phoneticPr fontId="11" type="noConversion"/>
  </si>
  <si>
    <t>044-301-7064</t>
    <phoneticPr fontId="11" type="noConversion"/>
  </si>
  <si>
    <t>010-4075-4268</t>
  </si>
  <si>
    <t>이경재</t>
  </si>
  <si>
    <t>010-4627-8052</t>
  </si>
  <si>
    <t xml:space="preserve">	libsejong@korea.kr</t>
    <phoneticPr fontId="11" type="noConversion"/>
  </si>
  <si>
    <t>* 23년부 유지보수 업체(대신네트워크)에서 세종지역 시립도서관 총괄.
* 990SL / 세종중앙공원 위치(관리사무소 앞)
* 300H / 출입구 방풍실에 위치</t>
    <phoneticPr fontId="11" type="noConversion"/>
  </si>
  <si>
    <t>* 세종중앙공원 위치(관리사무소 앞)</t>
    <phoneticPr fontId="11" type="noConversion"/>
  </si>
  <si>
    <t>044-860-2314</t>
  </si>
  <si>
    <t>suhshin@hongik.ac.kr</t>
    <phoneticPr fontId="11" type="noConversion"/>
  </si>
  <si>
    <t>* 21년 6월 납품
* 장비는 A교사동 로비에 위치.
* 24년부 유지보수 계약 체결.</t>
    <phoneticPr fontId="11" type="noConversion"/>
  </si>
  <si>
    <t>044-301-7663</t>
    <phoneticPr fontId="11" type="noConversion"/>
  </si>
  <si>
    <t>010-2106-7284</t>
    <phoneticPr fontId="11" type="noConversion"/>
  </si>
  <si>
    <t>wowo15181@korea.kr</t>
    <phoneticPr fontId="11" type="noConversion"/>
  </si>
  <si>
    <t>* 23.3.15 장비 납품
* 24년 1월부 유지보수 계약 체결</t>
    <phoneticPr fontId="11" type="noConversion"/>
  </si>
  <si>
    <t>2F, 3F</t>
    <phoneticPr fontId="11" type="noConversion"/>
  </si>
  <si>
    <t>044-865-1361</t>
  </si>
  <si>
    <t>010-6609-3742</t>
    <phoneticPr fontId="11" type="noConversion"/>
  </si>
  <si>
    <t>mint6876@naver.com</t>
    <phoneticPr fontId="11" type="noConversion"/>
  </si>
  <si>
    <t>* 23.1.9 납품 / 23.1. 20 사서용 리더기 설치
* 24년 2월부 유지보수 계약 체결</t>
    <phoneticPr fontId="11" type="noConversion"/>
  </si>
  <si>
    <t>* 24년 2월부 유지보수 계약 체결</t>
  </si>
  <si>
    <t>044-301-5318</t>
  </si>
  <si>
    <t>wlgml6936@naver.com</t>
    <phoneticPr fontId="11" type="noConversion"/>
  </si>
  <si>
    <t>* 23.2.22 납품 및 설치.
* 24년 3월부 유지보수 계약 체결</t>
    <phoneticPr fontId="11" type="noConversion"/>
  </si>
  <si>
    <t>대신네트웍스</t>
    <phoneticPr fontId="11" type="noConversion"/>
  </si>
  <si>
    <t>* 23.12.14 납품 / 23.12.15 프로그램 셋팅(시설 공사로 인한 납품 지연 / 검수는 23년 5월 말 완료).</t>
    <phoneticPr fontId="11" type="noConversion"/>
  </si>
  <si>
    <t>* 23.8.21 사대리 납품
* 23.10.5 분실방지기(s) 납품</t>
    <phoneticPr fontId="11" type="noConversion"/>
  </si>
  <si>
    <t>* 23.10.5 분실방지기(s) 납품</t>
  </si>
  <si>
    <t>044-301-5092</t>
    <phoneticPr fontId="11" type="noConversion"/>
  </si>
  <si>
    <t>* 23.9.7 장비 납품.
* 2층 야외 출입구에 위치</t>
    <phoneticPr fontId="11" type="noConversion"/>
  </si>
  <si>
    <t>서지연</t>
  </si>
  <si>
    <t>010-3452-4479</t>
    <phoneticPr fontId="11" type="noConversion"/>
  </si>
  <si>
    <t>suhtina@naver.com</t>
    <phoneticPr fontId="11" type="noConversion"/>
  </si>
  <si>
    <t>* 23.11.28 납품 / 23.11.23 태깅 작업(1만권)</t>
    <phoneticPr fontId="11" type="noConversion"/>
  </si>
  <si>
    <t>* 23.11.28 납품</t>
  </si>
  <si>
    <t>131RD</t>
    <phoneticPr fontId="11" type="noConversion"/>
  </si>
  <si>
    <t>041-746-5983</t>
    <phoneticPr fontId="11" type="noConversion"/>
  </si>
  <si>
    <t>010-4917-5137</t>
    <phoneticPr fontId="11" type="noConversion"/>
  </si>
  <si>
    <t>kkk3930@korea.kr</t>
    <phoneticPr fontId="11" type="noConversion"/>
  </si>
  <si>
    <t>* 1층 부출입구 방풍실 위치</t>
    <phoneticPr fontId="11" type="noConversion"/>
  </si>
  <si>
    <t>041-730-7730</t>
    <phoneticPr fontId="11" type="noConversion"/>
  </si>
  <si>
    <t>seo313@cne.go.kr</t>
    <phoneticPr fontId="11" type="noConversion"/>
  </si>
  <si>
    <t>* 별도 보안교육 받아야 함
* 9110 / 주출입구 옆 방풍실 위치</t>
    <phoneticPr fontId="11" type="noConversion"/>
  </si>
  <si>
    <t>seo314@cne.go.kr</t>
  </si>
  <si>
    <t>seo315@cne.go.kr</t>
  </si>
  <si>
    <t>seo316@cne.go.kr</t>
  </si>
  <si>
    <t>seo317@cne.go.kr</t>
  </si>
  <si>
    <t>220RS</t>
    <phoneticPr fontId="11" type="noConversion"/>
  </si>
  <si>
    <t>seo318@cne.go.kr</t>
  </si>
  <si>
    <t>seo319@cne.go.kr</t>
  </si>
  <si>
    <t>seo320@cne.go.kr</t>
  </si>
  <si>
    <t>041-831-6519</t>
    <phoneticPr fontId="11" type="noConversion"/>
  </si>
  <si>
    <t>010-4427-0421</t>
    <phoneticPr fontId="11" type="noConversion"/>
  </si>
  <si>
    <t>yullang21@naver.com
030300@mnd.go.kr</t>
    <phoneticPr fontId="11" type="noConversion"/>
  </si>
  <si>
    <t>* 23.11.14 납품 / 17일 검수.
* 100RD(2) 폐기(별도 보관) / 300H(1), 230RS(1), 500RH(1) 기존 사용 장비
 → 500RH 방전
* 사이버관제실(정명훈 소령) / 010-5870-5363, 041-831-3527, 901-3572
* 무상 기간 중 매월 영업 차원 방문 점검(25년 부 유지보수 계약 체결. 격월)
* 500RH 배터리 방전으로 인한 사용 불가(기관 전달 완료)</t>
    <phoneticPr fontId="11" type="noConversion"/>
  </si>
  <si>
    <t>* 25년 부 유지보수 계약 체결.</t>
    <phoneticPr fontId="11" type="noConversion"/>
  </si>
  <si>
    <t>* 1대 별도 보관
* 25년 부 유지보수 계약 체결.</t>
    <phoneticPr fontId="11" type="noConversion"/>
  </si>
  <si>
    <t>1,2,3F</t>
    <phoneticPr fontId="11" type="noConversion"/>
  </si>
  <si>
    <t>2,3,4F</t>
    <phoneticPr fontId="11" type="noConversion"/>
  </si>
  <si>
    <t>검색대 PC</t>
    <phoneticPr fontId="11" type="noConversion"/>
  </si>
  <si>
    <t>2014년</t>
    <phoneticPr fontId="11" type="noConversion"/>
  </si>
  <si>
    <t>* 유지보수 품목 아님. 폐기 예정.</t>
    <phoneticPr fontId="11" type="noConversion"/>
  </si>
  <si>
    <t>500RH</t>
    <phoneticPr fontId="11" type="noConversion"/>
  </si>
  <si>
    <t>별도보관</t>
    <phoneticPr fontId="11" type="noConversion"/>
  </si>
  <si>
    <t>* 23년 방전으로 사용불가 안내 완료
* 유지보수 품목 아님. 폐기 예정.</t>
    <phoneticPr fontId="11" type="noConversion"/>
  </si>
  <si>
    <t>문연희</t>
    <phoneticPr fontId="11" type="noConversion"/>
  </si>
  <si>
    <t>010-4348-1957</t>
    <phoneticPr fontId="11" type="noConversion"/>
  </si>
  <si>
    <t>* 국방 LAS 연동 작업: 8.22~23. 추가 미흡사항 추후 방문 예정(이준혁 과장)
* 도서관은 육군기록정보관리단에 위치. 920SG는 본청 로비에 있음.
* 출입시 인솔자 필요.
* 22.12.8 / 990SL 납품 및 설치 / 스마트운영팀
 → 1년 무상 유지보수. 무상 유지보수 기간 종료 이후 유지보수 계약체결 예정.
* 23.9.14 / 사대리(2), 분실방지기(s), 소형반납기(2), 예약대출기 납품
* 본청 2201WG / 통합유지보수 업체 관리 / 19년 납품
* 장비 납품 이력 및 위치 확인 필요</t>
    <phoneticPr fontId="11" type="noConversion"/>
  </si>
  <si>
    <t>* 24년 납품 장비(2대)는 26년까지 무상유지보수</t>
    <phoneticPr fontId="11" type="noConversion"/>
  </si>
  <si>
    <t xml:space="preserve"> * 1대는 22년 납품. 나머지 3대는 24년 납품(26년까지 무상유지보수)</t>
    <phoneticPr fontId="11" type="noConversion"/>
  </si>
  <si>
    <t xml:space="preserve"> * 폐기 예정 장비.</t>
    <phoneticPr fontId="11" type="noConversion"/>
  </si>
  <si>
    <t>5120HCF</t>
    <phoneticPr fontId="11" type="noConversion"/>
  </si>
  <si>
    <t>911BB</t>
    <phoneticPr fontId="11" type="noConversion"/>
  </si>
  <si>
    <t xml:space="preserve"> * 26년까지 무상유지보수</t>
    <phoneticPr fontId="11" type="noConversion"/>
  </si>
  <si>
    <t>SRP 350</t>
    <phoneticPr fontId="11" type="noConversion"/>
  </si>
  <si>
    <t>김영미</t>
  </si>
  <si>
    <t>042-878-6955</t>
    <phoneticPr fontId="11" type="noConversion"/>
  </si>
  <si>
    <t>010-8743-4304</t>
  </si>
  <si>
    <t>ymkim@mnd.go.kr</t>
    <phoneticPr fontId="11" type="noConversion"/>
  </si>
  <si>
    <t>1110USW</t>
    <phoneticPr fontId="11" type="noConversion"/>
  </si>
  <si>
    <t>* 22.9.27 930S 분실방지기(900Mhz) 납품.
* 해당 사이트는 9월 부로 예인에서 유지보수 및 AS 진행.
* 기존 사용 분실방지기 2층으로 옮김.
→ RFID 도서 번호 오류 및 태그 오류로 인한 점검 요청(9.27).
* 장비위치 확인 필요</t>
    <phoneticPr fontId="11" type="noConversion"/>
  </si>
  <si>
    <t>서기룡</t>
  </si>
  <si>
    <t>010-4844-1727</t>
    <phoneticPr fontId="11" type="noConversion"/>
  </si>
  <si>
    <t>S9230</t>
    <phoneticPr fontId="11" type="noConversion"/>
  </si>
  <si>
    <t>* 22.12.27 납품.</t>
    <phoneticPr fontId="11" type="noConversion"/>
  </si>
  <si>
    <t>이재옥</t>
  </si>
  <si>
    <t>041-551-4533</t>
    <phoneticPr fontId="11" type="noConversion"/>
  </si>
  <si>
    <t>010-2428-4324</t>
  </si>
  <si>
    <t>김태유</t>
    <phoneticPr fontId="11" type="noConversion"/>
  </si>
  <si>
    <t>041-559-9363</t>
  </si>
  <si>
    <t>010-6337-5177</t>
    <phoneticPr fontId="11" type="noConversion"/>
  </si>
  <si>
    <t>4810S</t>
    <phoneticPr fontId="11" type="noConversion"/>
  </si>
  <si>
    <t>* 23년 2월 15일 장비 납품.</t>
  </si>
  <si>
    <t>9530SSC</t>
    <phoneticPr fontId="11" type="noConversion"/>
  </si>
  <si>
    <t>5110HCF</t>
    <phoneticPr fontId="11" type="noConversion"/>
  </si>
  <si>
    <t>유창민
김현민</t>
  </si>
  <si>
    <t>010-5855-1361
010-7321-4689</t>
    <phoneticPr fontId="11" type="noConversion"/>
  </si>
  <si>
    <t>9540SSC</t>
    <phoneticPr fontId="11" type="noConversion"/>
  </si>
  <si>
    <t>* 23년 2월 21일 장비 납품.
* 23년 3월 8일 프로그램 셋팅.</t>
    <phoneticPr fontId="11" type="noConversion"/>
  </si>
  <si>
    <t>김은솔
이희혜</t>
  </si>
  <si>
    <t>010-6715-1101
010-6785-3245</t>
    <phoneticPr fontId="11" type="noConversion"/>
  </si>
  <si>
    <t>* 23년 2월 2일 사대리, 자가대출반납기 납품. 2.6 분실방지기, 장서점검기 납품</t>
  </si>
  <si>
    <t>560RM</t>
    <phoneticPr fontId="11" type="noConversion"/>
  </si>
  <si>
    <t>박민희</t>
  </si>
  <si>
    <t>010-9743-7477</t>
    <phoneticPr fontId="11" type="noConversion"/>
  </si>
  <si>
    <t>* 도서 2만 1천권 태깅작업(8.22). /  23.8.23 장비 납품.</t>
    <phoneticPr fontId="11" type="noConversion"/>
  </si>
  <si>
    <t>S9530</t>
    <phoneticPr fontId="11" type="noConversion"/>
  </si>
  <si>
    <t>박성경</t>
  </si>
  <si>
    <t>010-5874-5562</t>
    <phoneticPr fontId="11" type="noConversion"/>
  </si>
  <si>
    <t>* 23년 1월 12일 장비 납품. 23.2월 7일 프로그램 셋팅</t>
    <phoneticPr fontId="11" type="noConversion"/>
  </si>
  <si>
    <t>010-4436-2434</t>
    <phoneticPr fontId="11" type="noConversion"/>
  </si>
  <si>
    <t>* 23.1.12 납품</t>
    <phoneticPr fontId="11" type="noConversion"/>
  </si>
  <si>
    <t>오상호</t>
  </si>
  <si>
    <t>010-9478-2872</t>
    <phoneticPr fontId="11" type="noConversion"/>
  </si>
  <si>
    <t>* 23.1.12 납품
 → 바코드체커(1), RFID 회원증 프린터(1) 추가 납품</t>
    <phoneticPr fontId="11" type="noConversion"/>
  </si>
  <si>
    <t>이예나</t>
  </si>
  <si>
    <t>041-934-3483</t>
    <phoneticPr fontId="11" type="noConversion"/>
  </si>
  <si>
    <t>010-5314-9078</t>
    <phoneticPr fontId="11" type="noConversion"/>
  </si>
  <si>
    <t>450RA</t>
    <phoneticPr fontId="11" type="noConversion"/>
  </si>
  <si>
    <t>* 22년 7월 13일 장비만 납품.
* 22년 7월 21일 셋팅 완료.
* DLS 장비는 납품 이후 3년간 AS 보장.</t>
  </si>
  <si>
    <t>이영진</t>
  </si>
  <si>
    <t>010-9540-3616</t>
    <phoneticPr fontId="11" type="noConversion"/>
  </si>
  <si>
    <t>* 23년 1월 19일 분실방지기 및 사대리 납품. 23.1.26 회원증 프린터 납품. 
 → 대출반납기는 22년에 고경환 전무가 납품 함.</t>
    <phoneticPr fontId="11" type="noConversion"/>
  </si>
  <si>
    <t>김서리</t>
  </si>
  <si>
    <t>010-7116-3482</t>
  </si>
  <si>
    <t>* 23년 2월 8일 장비 납품.
* 3.7 프로그램 셋팅</t>
  </si>
  <si>
    <t>임세희</t>
  </si>
  <si>
    <t>010-6667-8793</t>
  </si>
  <si>
    <t>* 23년 8월 17일 납품(타 대리점에서 납품함). 유지보수는 예인에서 시행.
* 장비 납품 전 내부 ssd 결함으로 인한 부품 교체(이준혁 차장, 이장곤 사원)
 → 교체 일 미확인</t>
    <phoneticPr fontId="11" type="noConversion"/>
  </si>
  <si>
    <t>S103RD</t>
    <phoneticPr fontId="11" type="noConversion"/>
  </si>
  <si>
    <t>차경미</t>
  </si>
  <si>
    <t>010-6634-6649</t>
  </si>
  <si>
    <t>namugunu@naver.com</t>
  </si>
  <si>
    <t>본관 2F</t>
    <phoneticPr fontId="11" type="noConversion"/>
  </si>
  <si>
    <t>* 23년 2월 23일 장비 납품. 3.3 도서 투입(스마트도서관 외 장비는 기존 사용 장비)</t>
  </si>
  <si>
    <t>472RA</t>
    <phoneticPr fontId="11" type="noConversion"/>
  </si>
  <si>
    <t>김민기</t>
  </si>
  <si>
    <t>010-7156-7499</t>
  </si>
  <si>
    <t>* 23.5.3 납품 / 110RD 사전 납품 완료.</t>
    <phoneticPr fontId="11" type="noConversion"/>
  </si>
  <si>
    <t>이영화</t>
  </si>
  <si>
    <t>010-4305-1007</t>
  </si>
  <si>
    <r>
      <t xml:space="preserve">* 23.8.17 장비 납품 완료.
* 분실방지기 납품 예정
 → 23.5.25/26 미팅 완료. 도서관 내부 설비 미비로 인한 납품 기한 연장 요청(행정실 유란희 계장님)
 → 7월 중순 예정(나이콤 손상오 부장 내용 공유 완료)
 → </t>
    </r>
    <r>
      <rPr>
        <strike/>
        <sz val="9"/>
        <color rgb="FF000000"/>
        <rFont val="굴림"/>
        <family val="3"/>
        <charset val="129"/>
      </rPr>
      <t xml:space="preserve">장비는 7.5 기준으로 검수 예정. 실질적 장비 납품은 7월 19일에서 21일 사이
</t>
    </r>
    <r>
      <rPr>
        <sz val="9"/>
        <color rgb="FF000000"/>
        <rFont val="굴림"/>
        <family val="3"/>
        <charset val="129"/>
      </rPr>
      <t>* 23.7.19 방문 / 기존 주문한 4820ra(싱글) 통로가 좁다고 하여 4810으로 주문한다고 함. 납품된 장비는 나이콤으로 반품(비용은 기관에서 처리, 나이콤에서 세금계산서 발행후 예인에 전달 예정, 이후 이관에 결제 문의하자.</t>
    </r>
    <phoneticPr fontId="11" type="noConversion"/>
  </si>
  <si>
    <t>* 23.8.17 장비 납품 완료.</t>
  </si>
  <si>
    <t>남궁다솜</t>
    <phoneticPr fontId="11" type="noConversion"/>
  </si>
  <si>
    <t>041-352-8626</t>
  </si>
  <si>
    <t>010-2440-3868</t>
    <phoneticPr fontId="11" type="noConversion"/>
  </si>
  <si>
    <t>210RS</t>
    <phoneticPr fontId="11" type="noConversion"/>
  </si>
  <si>
    <t>이지현</t>
  </si>
  <si>
    <t xml:space="preserve">041-950-5930 </t>
    <phoneticPr fontId="11" type="noConversion"/>
  </si>
  <si>
    <t>010-3460-5253</t>
  </si>
  <si>
    <t>DT900U</t>
    <phoneticPr fontId="11" type="noConversion"/>
  </si>
  <si>
    <t>* 전시관 내 장비가 태깅이 잘 안된다고 함. 조만간 13.56MHz로 장비 및 도서 교체할 
   예정.
* 장비위치 확인 필요</t>
    <phoneticPr fontId="11" type="noConversion"/>
  </si>
  <si>
    <t>박새임</t>
  </si>
  <si>
    <t>041-950-6867</t>
  </si>
  <si>
    <t>송병희</t>
  </si>
  <si>
    <t>041-521-9062</t>
  </si>
  <si>
    <t>* 23.12.15에 라이브정보에서 9110 납품(EM)
* SG라이뮤 분실방지기 있음(싱글2)
* 장비위치 확인 필요</t>
    <phoneticPr fontId="11" type="noConversion"/>
  </si>
  <si>
    <t>정재규</t>
  </si>
  <si>
    <t>041-580-1031</t>
  </si>
  <si>
    <t>111USW</t>
    <phoneticPr fontId="11" type="noConversion"/>
  </si>
  <si>
    <t>백주희</t>
  </si>
  <si>
    <t>010-9205-2059</t>
  </si>
  <si>
    <t>* 310S 장비 미사용</t>
    <phoneticPr fontId="11" type="noConversion"/>
  </si>
  <si>
    <t>김원화</t>
  </si>
  <si>
    <t>041-536-8743</t>
  </si>
  <si>
    <t>* 아산시 도서관중 한곳에서 이관하여 사용중(출처 확인 불가)</t>
    <phoneticPr fontId="11" type="noConversion"/>
  </si>
  <si>
    <t>임국희</t>
  </si>
  <si>
    <t>042-840-3602</t>
  </si>
  <si>
    <t>420RA</t>
    <phoneticPr fontId="11" type="noConversion"/>
  </si>
  <si>
    <t>2011년</t>
    <phoneticPr fontId="11" type="noConversion"/>
  </si>
  <si>
    <t>김혜숙</t>
  </si>
  <si>
    <t>042-840-3673</t>
  </si>
  <si>
    <t>* 장비 미사용</t>
    <phoneticPr fontId="11" type="noConversion"/>
  </si>
  <si>
    <t>오*화</t>
  </si>
  <si>
    <t>041-688-0351</t>
  </si>
  <si>
    <t>신아름</t>
  </si>
  <si>
    <t>041-536-8618</t>
  </si>
  <si>
    <t>최지애</t>
  </si>
  <si>
    <t>041-536-8597</t>
  </si>
  <si>
    <t>정권재</t>
  </si>
  <si>
    <t>041-537-3968</t>
  </si>
  <si>
    <t>600RS(1)
450RA(1)
100RD(3) 
200RP(1)
450C(2)
500RH(1)</t>
    <phoneticPr fontId="11" type="noConversion"/>
  </si>
  <si>
    <t>* 폐관 도서관</t>
    <phoneticPr fontId="11" type="noConversion"/>
  </si>
  <si>
    <t>이은숙</t>
  </si>
  <si>
    <t>041-537-3957</t>
  </si>
  <si>
    <t>임효진</t>
    <phoneticPr fontId="11" type="noConversion"/>
  </si>
  <si>
    <t>041-530-6618</t>
    <phoneticPr fontId="11" type="noConversion"/>
  </si>
  <si>
    <t>genesis13@korea.kr</t>
    <phoneticPr fontId="11" type="noConversion"/>
  </si>
  <si>
    <t>발열체크기</t>
    <phoneticPr fontId="11" type="noConversion"/>
  </si>
  <si>
    <t>1F 로비</t>
    <phoneticPr fontId="11" type="noConversion"/>
  </si>
  <si>
    <t>* 2023년 구매 장비이나 2024년 8.12에 납품함.</t>
    <phoneticPr fontId="11" type="noConversion"/>
  </si>
  <si>
    <t>NICOM</t>
    <phoneticPr fontId="15" type="noConversion"/>
  </si>
  <si>
    <t>김다솜</t>
    <phoneticPr fontId="15" type="noConversion"/>
  </si>
  <si>
    <t>010-9438-5712</t>
    <phoneticPr fontId="15" type="noConversion"/>
  </si>
  <si>
    <t>110RD(1)
230RS(1)</t>
    <phoneticPr fontId="15" type="noConversion"/>
  </si>
  <si>
    <t>2018년</t>
    <phoneticPr fontId="15" type="noConversion"/>
  </si>
  <si>
    <t>Call</t>
    <phoneticPr fontId="15" type="noConversion"/>
  </si>
  <si>
    <t>미계약</t>
    <phoneticPr fontId="15" type="noConversion"/>
  </si>
  <si>
    <t>* 충남 아산시 소재</t>
    <phoneticPr fontId="15" type="noConversion"/>
  </si>
  <si>
    <t>041-521-3778</t>
    <phoneticPr fontId="11" type="noConversion"/>
  </si>
  <si>
    <t>010-2933-3786</t>
    <phoneticPr fontId="11" type="noConversion"/>
  </si>
  <si>
    <t>dohye93@korea.kr</t>
    <phoneticPr fontId="11" type="noConversion"/>
  </si>
  <si>
    <t>3120HRS</t>
    <phoneticPr fontId="11" type="noConversion"/>
  </si>
  <si>
    <t xml:space="preserve"> * 원격 작업시 포트허용 신청서 제출 필요
 * 25년 5월 부 유지보수 진행 예정. </t>
    <phoneticPr fontId="11" type="noConversion"/>
  </si>
  <si>
    <t xml:space="preserve"> * 원격 작업시 포트허용 신청서 제출 필요
 * 25년 5월 부 유지보수 진행 예정.  </t>
    <phoneticPr fontId="11" type="noConversion"/>
  </si>
  <si>
    <t>조혜영</t>
    <phoneticPr fontId="11" type="noConversion"/>
  </si>
  <si>
    <t>041-746-8292</t>
    <phoneticPr fontId="11" type="noConversion"/>
  </si>
  <si>
    <t>010-8525-6781</t>
    <phoneticPr fontId="11" type="noConversion"/>
  </si>
  <si>
    <t>haevvie@korea.kr</t>
    <phoneticPr fontId="11" type="noConversion"/>
  </si>
  <si>
    <t>박진환</t>
    <phoneticPr fontId="11" type="noConversion"/>
  </si>
  <si>
    <t>010-4560-2111</t>
    <phoneticPr fontId="11" type="noConversion"/>
  </si>
  <si>
    <t>k950108@hanmail.net</t>
    <phoneticPr fontId="11" type="noConversion"/>
  </si>
  <si>
    <t xml:space="preserve"> * 2022년 12월 발주건. 이전 총판(예인)에서 정산 완료. 학교 리모델링으로 인한 납품 연기. 
2024년 10월 21일 설치 완료.</t>
    <phoneticPr fontId="11" type="noConversion"/>
  </si>
  <si>
    <t>041-521-3886</t>
    <phoneticPr fontId="11" type="noConversion"/>
  </si>
  <si>
    <t>010-2509-4483</t>
    <phoneticPr fontId="11" type="noConversion"/>
  </si>
  <si>
    <t>yyj065@korea.kr</t>
    <phoneticPr fontId="11" type="noConversion"/>
  </si>
  <si>
    <t xml:space="preserve"> * 25년 11월 부 유지보수 진행 예정.</t>
    <phoneticPr fontId="11" type="noConversion"/>
  </si>
  <si>
    <t xml:space="preserve"> * 24년 12월 5일에 쌍용도서관에서 이전 설치(쌍용 도서관 설치일:9.11)</t>
    <phoneticPr fontId="11" type="noConversion"/>
  </si>
  <si>
    <t>오현석</t>
    <phoneticPr fontId="11" type="noConversion"/>
  </si>
  <si>
    <t>010-3089-0065</t>
    <phoneticPr fontId="11" type="noConversion"/>
  </si>
  <si>
    <t>gustjr12345@hanmail.net</t>
    <phoneticPr fontId="11" type="noConversion"/>
  </si>
  <si>
    <t>이선주</t>
    <phoneticPr fontId="11" type="noConversion"/>
  </si>
  <si>
    <t>041-521-2056</t>
    <phoneticPr fontId="11" type="noConversion"/>
  </si>
  <si>
    <t>010-9064-3571</t>
    <phoneticPr fontId="11" type="noConversion"/>
  </si>
  <si>
    <t>kmh0413@korea.kr</t>
    <phoneticPr fontId="11" type="noConversion"/>
  </si>
  <si>
    <t xml:space="preserve"> * 24.12.19 납품(매립식, 블루투스)</t>
    <phoneticPr fontId="11" type="noConversion"/>
  </si>
  <si>
    <t xml:space="preserve"> * 24.12.19 납품</t>
    <phoneticPr fontId="11" type="noConversion"/>
  </si>
  <si>
    <t>2022년 유지보수 현황</t>
  </si>
  <si>
    <t>2022년</t>
  </si>
  <si>
    <t>천안 유지보수도서관</t>
  </si>
  <si>
    <t>연락처</t>
  </si>
  <si>
    <t>기간</t>
  </si>
  <si>
    <t>유지보수장비</t>
  </si>
  <si>
    <t>내용</t>
  </si>
  <si>
    <t>한국기술교육대학</t>
  </si>
  <si>
    <t>이성준</t>
  </si>
  <si>
    <t>041-560-1385</t>
  </si>
  <si>
    <t>매월</t>
  </si>
  <si>
    <t>200RS(1) / 300H(2)</t>
  </si>
  <si>
    <t>단국대학교</t>
  </si>
  <si>
    <t>김희근</t>
  </si>
  <si>
    <t>041-550-1633</t>
  </si>
  <si>
    <t>3300R(1)</t>
  </si>
  <si>
    <t>3300R(1) / 2201WG
SG라이뮤 분실방지기 (싱글2)</t>
  </si>
  <si>
    <t>이정은</t>
  </si>
  <si>
    <t>041-521-3875</t>
  </si>
  <si>
    <t>2510HSC(2)</t>
  </si>
  <si>
    <t>김윤호</t>
  </si>
  <si>
    <t>041-521-3734</t>
  </si>
  <si>
    <t>2510HSC(1)</t>
  </si>
  <si>
    <t>김효전</t>
  </si>
  <si>
    <t>041-521-3913</t>
  </si>
  <si>
    <t>*</t>
  </si>
  <si>
    <t>남진현</t>
  </si>
  <si>
    <t>041-581-9962</t>
  </si>
  <si>
    <t>수시</t>
  </si>
  <si>
    <t>아산 유지보수도서관</t>
  </si>
  <si>
    <t xml:space="preserve">600RS(1) / 450RA(1) / 100RD(3) 
200RP(1) / 450C(2) / 500RH(1) </t>
  </si>
  <si>
    <t>은행나무길 스마트도서관(꿈샘)</t>
  </si>
  <si>
    <t>김민정</t>
  </si>
  <si>
    <t>010-5421-9870</t>
  </si>
  <si>
    <t>950SL(1)</t>
  </si>
  <si>
    <t>중앙도서관</t>
  </si>
  <si>
    <t>신용근</t>
  </si>
  <si>
    <t>041-530-6606</t>
  </si>
  <si>
    <t xml:space="preserve">1500S(2) </t>
  </si>
  <si>
    <t>순천향대학교</t>
  </si>
  <si>
    <t>041-530-1406</t>
  </si>
  <si>
    <t>1500S(5) / 200E2(2)</t>
  </si>
  <si>
    <t>서산 유지보수도서관</t>
  </si>
  <si>
    <t>김혜미</t>
  </si>
  <si>
    <t>041-661-8064</t>
  </si>
  <si>
    <t>격월</t>
  </si>
  <si>
    <t>1500S(2)</t>
  </si>
  <si>
    <t>당진 유지보수도서관</t>
  </si>
  <si>
    <t>041-350-1127</t>
  </si>
  <si>
    <t>1400WG(6)</t>
  </si>
  <si>
    <t>041-350-1102</t>
  </si>
  <si>
    <t>분기</t>
  </si>
  <si>
    <t>290RS(2) /  RD900U(3) / DT910U(1) 
1200FG(2) / 1500S(2)</t>
  </si>
  <si>
    <t>박성민</t>
  </si>
  <si>
    <t>210RS(1) / 230RS(1)</t>
  </si>
  <si>
    <t>9110HRS(1)</t>
  </si>
  <si>
    <t>세종 유지보수도서관</t>
  </si>
  <si>
    <t>세종도서관,환경부,공정위</t>
  </si>
  <si>
    <t>김태웅</t>
  </si>
  <si>
    <t>010-3791-3660</t>
  </si>
  <si>
    <t>300H(1) / 460RA(2) / 200RP(5) 920SG(2) / 100RD(8) / 110RD(3)  600RS(2) /310S(1)</t>
  </si>
  <si>
    <t>권해진</t>
  </si>
  <si>
    <t>RD900U(1) / 290RS(1) / 930S(1)</t>
  </si>
  <si>
    <t>이지혜</t>
  </si>
  <si>
    <t>044-550-1283</t>
  </si>
  <si>
    <t>920SG(1)</t>
  </si>
  <si>
    <t>임예지</t>
  </si>
  <si>
    <t>044-301-6662</t>
  </si>
  <si>
    <t>110RD(2) / 471RA(1) / 230RS(1)</t>
  </si>
  <si>
    <t>보람동 복합커뮤니티센터 5층</t>
  </si>
  <si>
    <t>노수원</t>
  </si>
  <si>
    <t>044-301-6762</t>
  </si>
  <si>
    <t xml:space="preserve">
</t>
  </si>
  <si>
    <t>소담동 복합커뮤니티센터 4,5층</t>
  </si>
  <si>
    <t>한채운</t>
  </si>
  <si>
    <t>044-301-7064</t>
  </si>
  <si>
    <t>110RD(3) / 471RA(2) / 230RS(1)
2510HSC(1) / 310RS(1) / 600RS(1)
RFID대출검색대(링캠장비)</t>
  </si>
  <si>
    <t>김병용</t>
  </si>
  <si>
    <t>300H(1)</t>
  </si>
  <si>
    <t>황현정</t>
  </si>
  <si>
    <t>044-301-4325</t>
  </si>
  <si>
    <t>300H(2) / 600RS(2) / 910SB(1) / 990SL</t>
  </si>
  <si>
    <t>논산 유지보수도서관</t>
  </si>
  <si>
    <t>열린도서관</t>
  </si>
  <si>
    <t>김미영</t>
  </si>
  <si>
    <t xml:space="preserve">041-746-5984 </t>
  </si>
  <si>
    <t>310S(1)</t>
  </si>
  <si>
    <t>국방대학교</t>
  </si>
  <si>
    <t>김소현</t>
  </si>
  <si>
    <t>010-5467-7425</t>
  </si>
  <si>
    <t xml:space="preserve">100RD(2) / 300H(1) / 230RS(1)
500RH(1)     </t>
  </si>
  <si>
    <t>최미애</t>
  </si>
  <si>
    <t>041-730-7731</t>
  </si>
  <si>
    <t>9110HRS(1) / 910SB(1) / 4820RA(1)
4810RA(1) / 3110HRS(1) / 2510HSC(1)
220RS(2)</t>
  </si>
  <si>
    <t>무상 유지보수도서관</t>
  </si>
  <si>
    <t>김연문</t>
  </si>
  <si>
    <t xml:space="preserve"> </t>
  </si>
  <si>
    <t>01.31/ 16:00</t>
    <phoneticPr fontId="11" type="noConversion"/>
  </si>
  <si>
    <t>학생교육문화원</t>
    <phoneticPr fontId="15" type="noConversion"/>
  </si>
  <si>
    <t>권지은</t>
    <phoneticPr fontId="15" type="noConversion"/>
  </si>
  <si>
    <t>041-904-6835</t>
    <phoneticPr fontId="15" type="noConversion"/>
  </si>
  <si>
    <t>010-6430-8520</t>
    <phoneticPr fontId="15" type="noConversion"/>
  </si>
  <si>
    <t>kwonjieun@cne.go.kr</t>
    <phoneticPr fontId="15" type="noConversion"/>
  </si>
  <si>
    <t>평생교육원</t>
    <phoneticPr fontId="15" type="noConversion"/>
  </si>
  <si>
    <t>조서인</t>
    <phoneticPr fontId="15" type="noConversion"/>
  </si>
  <si>
    <t>041-629-2079</t>
    <phoneticPr fontId="15" type="noConversion"/>
  </si>
  <si>
    <t>010-4173-7561</t>
    <phoneticPr fontId="15" type="noConversion"/>
  </si>
  <si>
    <t>green7723@korea.kr</t>
    <phoneticPr fontId="15" type="noConversion"/>
  </si>
  <si>
    <t>남부평생교육원</t>
    <phoneticPr fontId="15" type="noConversion"/>
  </si>
  <si>
    <t>김지수</t>
    <phoneticPr fontId="15" type="noConversion"/>
  </si>
  <si>
    <t>041-730-7730</t>
    <phoneticPr fontId="15" type="noConversion"/>
  </si>
  <si>
    <t>010-8671-8950</t>
    <phoneticPr fontId="15" type="noConversion"/>
  </si>
  <si>
    <t>lis1010@cne.go.kr</t>
    <phoneticPr fontId="15" type="noConversion"/>
  </si>
  <si>
    <t>서부평생교육원</t>
    <phoneticPr fontId="15" type="noConversion"/>
  </si>
  <si>
    <t>이지원</t>
    <phoneticPr fontId="15" type="noConversion"/>
  </si>
  <si>
    <t>041-661-8352</t>
    <phoneticPr fontId="15" type="noConversion"/>
  </si>
  <si>
    <t>010-2331-4390</t>
    <phoneticPr fontId="15" type="noConversion"/>
  </si>
  <si>
    <t>ljw990531@korea.kr</t>
    <phoneticPr fontId="15" type="noConversion"/>
  </si>
  <si>
    <t>성환도서관</t>
    <phoneticPr fontId="15" type="noConversion"/>
  </si>
  <si>
    <t>김예진</t>
    <phoneticPr fontId="15" type="noConversion"/>
  </si>
  <si>
    <t>041-581-9962</t>
    <phoneticPr fontId="15" type="noConversion"/>
  </si>
  <si>
    <t>010-4737-7475</t>
    <phoneticPr fontId="15" type="noConversion"/>
  </si>
  <si>
    <t>daisy2521@cne.go.kr</t>
    <phoneticPr fontId="15" type="noConversion"/>
  </si>
  <si>
    <t>공주도서관</t>
    <phoneticPr fontId="15" type="noConversion"/>
  </si>
  <si>
    <t>전성민</t>
    <phoneticPr fontId="15" type="noConversion"/>
  </si>
  <si>
    <t>041-855-7122</t>
    <phoneticPr fontId="15" type="noConversion"/>
  </si>
  <si>
    <t>010-4597-0707</t>
    <phoneticPr fontId="15" type="noConversion"/>
  </si>
  <si>
    <t>kj-lib@cne.go.kr</t>
    <phoneticPr fontId="15" type="noConversion"/>
  </si>
  <si>
    <t>유구도서관</t>
    <phoneticPr fontId="15" type="noConversion"/>
  </si>
  <si>
    <t>정소현</t>
    <phoneticPr fontId="15" type="noConversion"/>
  </si>
  <si>
    <t>041-841-1196</t>
    <phoneticPr fontId="15" type="noConversion"/>
  </si>
  <si>
    <t>010-5007-4839</t>
    <phoneticPr fontId="15" type="noConversion"/>
  </si>
  <si>
    <t>sh0324@korea.kr</t>
    <phoneticPr fontId="15" type="noConversion"/>
  </si>
  <si>
    <t>보령도서관</t>
    <phoneticPr fontId="15" type="noConversion"/>
  </si>
  <si>
    <t>김해림</t>
    <phoneticPr fontId="15" type="noConversion"/>
  </si>
  <si>
    <t>041-934-0929</t>
    <phoneticPr fontId="15" type="noConversion"/>
  </si>
  <si>
    <t>010-5511-3147</t>
    <phoneticPr fontId="15" type="noConversion"/>
  </si>
  <si>
    <t>pr-lib@cne.go.kr</t>
    <phoneticPr fontId="15" type="noConversion"/>
  </si>
  <si>
    <t>웅천도서관</t>
    <phoneticPr fontId="15" type="noConversion"/>
  </si>
  <si>
    <t>김무령</t>
    <phoneticPr fontId="15" type="noConversion"/>
  </si>
  <si>
    <t>041-934-1789</t>
    <phoneticPr fontId="15" type="noConversion"/>
  </si>
  <si>
    <t>010-4650-5964</t>
    <phoneticPr fontId="15" type="noConversion"/>
  </si>
  <si>
    <t>uc-lib@cne.go.kr</t>
    <phoneticPr fontId="15" type="noConversion"/>
  </si>
  <si>
    <t>아산도서관</t>
    <phoneticPr fontId="15" type="noConversion"/>
  </si>
  <si>
    <t>정지인</t>
    <phoneticPr fontId="15" type="noConversion"/>
  </si>
  <si>
    <t>041-541-1020</t>
    <phoneticPr fontId="15" type="noConversion"/>
  </si>
  <si>
    <t>010-6210-8258</t>
    <phoneticPr fontId="15" type="noConversion"/>
  </si>
  <si>
    <t>as-lib@cne.go.kr</t>
    <phoneticPr fontId="15" type="noConversion"/>
  </si>
  <si>
    <t>해미도서관</t>
    <phoneticPr fontId="15" type="noConversion"/>
  </si>
  <si>
    <t>박성민</t>
    <phoneticPr fontId="15" type="noConversion"/>
  </si>
  <si>
    <t>041-688-0351</t>
    <phoneticPr fontId="15" type="noConversion"/>
  </si>
  <si>
    <t>010-4766-9365</t>
    <phoneticPr fontId="15" type="noConversion"/>
  </si>
  <si>
    <t>pyh6643@cne.go.kr</t>
    <phoneticPr fontId="15" type="noConversion"/>
  </si>
  <si>
    <t>당진도서관</t>
    <phoneticPr fontId="15" type="noConversion"/>
  </si>
  <si>
    <t>신선민</t>
    <phoneticPr fontId="15" type="noConversion"/>
  </si>
  <si>
    <t>041-352-8624</t>
    <phoneticPr fontId="15" type="noConversion"/>
  </si>
  <si>
    <t>010-9308-7415</t>
    <phoneticPr fontId="15" type="noConversion"/>
  </si>
  <si>
    <t>sseonmin@korea.kr</t>
    <phoneticPr fontId="15" type="noConversion"/>
  </si>
  <si>
    <t>금산도서관</t>
    <phoneticPr fontId="15" type="noConversion"/>
  </si>
  <si>
    <t>오주환</t>
    <phoneticPr fontId="15" type="noConversion"/>
  </si>
  <si>
    <t>041-753-4710</t>
    <phoneticPr fontId="15" type="noConversion"/>
  </si>
  <si>
    <t>010-5188-9248</t>
    <phoneticPr fontId="15" type="noConversion"/>
  </si>
  <si>
    <t>jha21@korea.kr</t>
    <phoneticPr fontId="15" type="noConversion"/>
  </si>
  <si>
    <t>부여도서관</t>
    <phoneticPr fontId="15" type="noConversion"/>
  </si>
  <si>
    <t>배현진</t>
    <phoneticPr fontId="15" type="noConversion"/>
  </si>
  <si>
    <t>041-835-2509</t>
    <phoneticPr fontId="15" type="noConversion"/>
  </si>
  <si>
    <t>010-3083-3015</t>
    <phoneticPr fontId="15" type="noConversion"/>
  </si>
  <si>
    <t>jin3015@korea</t>
    <phoneticPr fontId="15" type="noConversion"/>
  </si>
  <si>
    <t>서천도서관</t>
    <phoneticPr fontId="15" type="noConversion"/>
  </si>
  <si>
    <t>김한슬</t>
    <phoneticPr fontId="15" type="noConversion"/>
  </si>
  <si>
    <t>041-953-1518</t>
    <phoneticPr fontId="15" type="noConversion"/>
  </si>
  <si>
    <t>010-3953-1310</t>
    <phoneticPr fontId="15" type="noConversion"/>
  </si>
  <si>
    <t>evemstar@cne.go.kr</t>
    <phoneticPr fontId="15" type="noConversion"/>
  </si>
  <si>
    <t>청양도서관</t>
    <phoneticPr fontId="15" type="noConversion"/>
  </si>
  <si>
    <t>윤준구</t>
    <phoneticPr fontId="15" type="noConversion"/>
  </si>
  <si>
    <t>041-943-0875</t>
    <phoneticPr fontId="15" type="noConversion"/>
  </si>
  <si>
    <t>010-5272-7562</t>
    <phoneticPr fontId="15" type="noConversion"/>
  </si>
  <si>
    <t>yo2n32@korea.kr</t>
    <phoneticPr fontId="15" type="noConversion"/>
  </si>
  <si>
    <t>홍성도서관</t>
    <phoneticPr fontId="15" type="noConversion"/>
  </si>
  <si>
    <t>장현성</t>
    <phoneticPr fontId="15" type="noConversion"/>
  </si>
  <si>
    <t>041-640-8804</t>
    <phoneticPr fontId="15" type="noConversion"/>
  </si>
  <si>
    <t>010-3508-1252</t>
    <phoneticPr fontId="15" type="noConversion"/>
  </si>
  <si>
    <t>j080313@korea.kr</t>
    <phoneticPr fontId="15" type="noConversion"/>
  </si>
  <si>
    <t>예산도서관</t>
    <phoneticPr fontId="15" type="noConversion"/>
  </si>
  <si>
    <t>정혜령</t>
    <phoneticPr fontId="15" type="noConversion"/>
  </si>
  <si>
    <t>041-335-2638</t>
    <phoneticPr fontId="15" type="noConversion"/>
  </si>
  <si>
    <t>010-9702-5233</t>
    <phoneticPr fontId="15" type="noConversion"/>
  </si>
  <si>
    <t>jhr0822@korea.kr</t>
    <phoneticPr fontId="15" type="noConversion"/>
  </si>
  <si>
    <t>태안도서관</t>
    <phoneticPr fontId="15" type="noConversion"/>
  </si>
  <si>
    <t>송다은</t>
    <phoneticPr fontId="15" type="noConversion"/>
  </si>
  <si>
    <t>041-674-1369</t>
    <phoneticPr fontId="15" type="noConversion"/>
  </si>
  <si>
    <t>010-4456-2633</t>
    <phoneticPr fontId="15" type="noConversion"/>
  </si>
  <si>
    <t xml:space="preserve">sde0421@korea.kr </t>
    <phoneticPr fontId="15" type="noConversion"/>
  </si>
  <si>
    <t>세종시립도서관</t>
    <phoneticPr fontId="15" type="noConversion"/>
  </si>
  <si>
    <t>이 경 재</t>
    <phoneticPr fontId="15" type="noConversion"/>
  </si>
  <si>
    <t>044-301-4300</t>
    <phoneticPr fontId="15" type="noConversion"/>
  </si>
  <si>
    <t>010-4627-8052</t>
    <phoneticPr fontId="15" type="noConversion"/>
  </si>
  <si>
    <t>한솔동 도서관</t>
    <phoneticPr fontId="15" type="noConversion"/>
  </si>
  <si>
    <t>안 미 래</t>
    <phoneticPr fontId="15" type="noConversion"/>
  </si>
  <si>
    <t>044-301-6161</t>
    <phoneticPr fontId="15" type="noConversion"/>
  </si>
  <si>
    <t>010-2752-9372</t>
    <phoneticPr fontId="15" type="noConversion"/>
  </si>
  <si>
    <t>sguirre12@korea.kr</t>
    <phoneticPr fontId="15" type="noConversion"/>
  </si>
  <si>
    <t>도담동 도서관</t>
    <phoneticPr fontId="15" type="noConversion"/>
  </si>
  <si>
    <t>최 예 린</t>
    <phoneticPr fontId="15" type="noConversion"/>
  </si>
  <si>
    <t>044-301-6263</t>
    <phoneticPr fontId="15" type="noConversion"/>
  </si>
  <si>
    <t>010-5612-5493</t>
    <phoneticPr fontId="15" type="noConversion"/>
  </si>
  <si>
    <t>choiyl9n@korea.kr</t>
    <phoneticPr fontId="15" type="noConversion"/>
  </si>
  <si>
    <t>아름동 도서관</t>
    <phoneticPr fontId="15" type="noConversion"/>
  </si>
  <si>
    <t>노 치 영</t>
    <phoneticPr fontId="15" type="noConversion"/>
  </si>
  <si>
    <t>044-301-6362(1)</t>
    <phoneticPr fontId="15" type="noConversion"/>
  </si>
  <si>
    <t>010-2671-1789</t>
    <phoneticPr fontId="15" type="noConversion"/>
  </si>
  <si>
    <t>nocy0613@korea.kr</t>
    <phoneticPr fontId="15" type="noConversion"/>
  </si>
  <si>
    <t>종촌동 도서관</t>
    <phoneticPr fontId="15" type="noConversion"/>
  </si>
  <si>
    <t>이 진 원</t>
    <phoneticPr fontId="15" type="noConversion"/>
  </si>
  <si>
    <t>044-301-6461</t>
    <phoneticPr fontId="15" type="noConversion"/>
  </si>
  <si>
    <t>010-8971-8131</t>
    <phoneticPr fontId="15" type="noConversion"/>
  </si>
  <si>
    <t>pressman@korea.kr</t>
    <phoneticPr fontId="15" type="noConversion"/>
  </si>
  <si>
    <t>고운동 도서관</t>
    <phoneticPr fontId="15" type="noConversion"/>
  </si>
  <si>
    <t>임 요 한</t>
    <phoneticPr fontId="15" type="noConversion"/>
  </si>
  <si>
    <t>044-301-6662(1)</t>
    <phoneticPr fontId="15" type="noConversion"/>
  </si>
  <si>
    <t>010-3301-5462</t>
    <phoneticPr fontId="15" type="noConversion"/>
  </si>
  <si>
    <t>yohannes@korea.kr</t>
    <phoneticPr fontId="15" type="noConversion"/>
  </si>
  <si>
    <t>고운남측도서관</t>
    <phoneticPr fontId="15" type="noConversion"/>
  </si>
  <si>
    <t>한 정 원</t>
    <phoneticPr fontId="15" type="noConversion"/>
  </si>
  <si>
    <t>044-301-7261</t>
    <phoneticPr fontId="15" type="noConversion"/>
  </si>
  <si>
    <t>010-3836-8272</t>
    <phoneticPr fontId="15" type="noConversion"/>
  </si>
  <si>
    <t>hjw8272@korea.kr</t>
    <phoneticPr fontId="15" type="noConversion"/>
  </si>
  <si>
    <t>보람동 도서관</t>
    <phoneticPr fontId="15" type="noConversion"/>
  </si>
  <si>
    <t>구 채 영</t>
    <phoneticPr fontId="15" type="noConversion"/>
  </si>
  <si>
    <t>044-301-6761</t>
    <phoneticPr fontId="15" type="noConversion"/>
  </si>
  <si>
    <t>010-2297-1723</t>
    <phoneticPr fontId="15" type="noConversion"/>
  </si>
  <si>
    <t>lisgcy09@korea.kr</t>
    <phoneticPr fontId="15" type="noConversion"/>
  </si>
  <si>
    <t>새롬동 도서관</t>
    <phoneticPr fontId="15" type="noConversion"/>
  </si>
  <si>
    <t>류 시 은</t>
    <phoneticPr fontId="15" type="noConversion"/>
  </si>
  <si>
    <t>044-301-6864</t>
    <phoneticPr fontId="15" type="noConversion"/>
  </si>
  <si>
    <t>010-3334-6029</t>
    <phoneticPr fontId="15" type="noConversion"/>
  </si>
  <si>
    <t>totorl99@korea.kr</t>
    <phoneticPr fontId="15" type="noConversion"/>
  </si>
  <si>
    <t>대평동 도서관</t>
    <phoneticPr fontId="15" type="noConversion"/>
  </si>
  <si>
    <t>김 송 이</t>
    <phoneticPr fontId="15" type="noConversion"/>
  </si>
  <si>
    <t>044-301-6962</t>
    <phoneticPr fontId="15" type="noConversion"/>
  </si>
  <si>
    <t>010-5157-3531</t>
    <phoneticPr fontId="15" type="noConversion"/>
  </si>
  <si>
    <t>소담동 도서관</t>
    <phoneticPr fontId="15" type="noConversion"/>
  </si>
  <si>
    <t>황 현 정</t>
    <phoneticPr fontId="15" type="noConversion"/>
  </si>
  <si>
    <t>044-301-7064</t>
    <phoneticPr fontId="15" type="noConversion"/>
  </si>
  <si>
    <t>010-7558-7655</t>
    <phoneticPr fontId="15" type="noConversion"/>
  </si>
  <si>
    <t>libbotero60@korea.kr</t>
    <phoneticPr fontId="15" type="noConversion"/>
  </si>
  <si>
    <t>다정동 도서관</t>
    <phoneticPr fontId="15" type="noConversion"/>
  </si>
  <si>
    <t>김 연 은</t>
    <phoneticPr fontId="15" type="noConversion"/>
  </si>
  <si>
    <t>044-301-7163</t>
    <phoneticPr fontId="15" type="noConversion"/>
  </si>
  <si>
    <t>010-9489-2046</t>
    <phoneticPr fontId="15" type="noConversion"/>
  </si>
  <si>
    <t>ko324@korea.kr</t>
    <phoneticPr fontId="15" type="noConversion"/>
  </si>
  <si>
    <t>해밀동 도서관</t>
    <phoneticPr fontId="15" type="noConversion"/>
  </si>
  <si>
    <t>임 예 지</t>
    <phoneticPr fontId="15" type="noConversion"/>
  </si>
  <si>
    <t>044-301-7463</t>
    <phoneticPr fontId="15" type="noConversion"/>
  </si>
  <si>
    <t>010-9182-2995</t>
    <phoneticPr fontId="15" type="noConversion"/>
  </si>
  <si>
    <t>dlsh3784@korea.kr</t>
    <phoneticPr fontId="15" type="noConversion"/>
  </si>
  <si>
    <t>반곡동 도서관</t>
    <phoneticPr fontId="15" type="noConversion"/>
  </si>
  <si>
    <t>한 유 리</t>
    <phoneticPr fontId="15" type="noConversion"/>
  </si>
  <si>
    <t>044-301-7361</t>
    <phoneticPr fontId="15" type="noConversion"/>
  </si>
  <si>
    <t>010-5300-1536</t>
    <phoneticPr fontId="15" type="noConversion"/>
  </si>
  <si>
    <t>helloyul@korea.kr</t>
    <phoneticPr fontId="15" type="noConversion"/>
  </si>
  <si>
    <t>나성동 도서관</t>
    <phoneticPr fontId="15" type="noConversion"/>
  </si>
  <si>
    <t>박 선 주</t>
    <phoneticPr fontId="15" type="noConversion"/>
  </si>
  <si>
    <t>044-301-7662</t>
    <phoneticPr fontId="15" type="noConversion"/>
  </si>
  <si>
    <t>010-2106-7284</t>
    <phoneticPr fontId="15" type="noConversion"/>
  </si>
  <si>
    <t>wowo15181@korea.kr</t>
    <phoneticPr fontId="15" type="noConversion"/>
  </si>
  <si>
    <t>장군면 작은도서관</t>
    <phoneticPr fontId="15" type="noConversion"/>
  </si>
  <si>
    <t>정 성 국</t>
    <phoneticPr fontId="15" type="noConversion"/>
  </si>
  <si>
    <t>044-301-5661</t>
    <phoneticPr fontId="15" type="noConversion"/>
  </si>
  <si>
    <t>010-9697-4010</t>
    <phoneticPr fontId="15" type="noConversion"/>
  </si>
  <si>
    <t>emailibox@naver.com</t>
    <phoneticPr fontId="15" type="noConversion"/>
  </si>
  <si>
    <t>소정 작은도서관</t>
    <phoneticPr fontId="15" type="noConversion"/>
  </si>
  <si>
    <t>이 인 숙</t>
    <phoneticPr fontId="15" type="noConversion"/>
  </si>
  <si>
    <t>044-301-6061</t>
    <phoneticPr fontId="15" type="noConversion"/>
  </si>
  <si>
    <t>010-3178-6578</t>
    <phoneticPr fontId="15" type="noConversion"/>
  </si>
  <si>
    <t>ventasllo@navr.com</t>
    <phoneticPr fontId="15" type="noConversion"/>
  </si>
  <si>
    <t>조치원 어린이도서관</t>
    <phoneticPr fontId="15" type="noConversion"/>
  </si>
  <si>
    <t>조 아 라</t>
    <phoneticPr fontId="15" type="noConversion"/>
  </si>
  <si>
    <t>044-715-5570</t>
    <phoneticPr fontId="15" type="noConversion"/>
  </si>
  <si>
    <t>010-3203-0248</t>
    <phoneticPr fontId="15" type="noConversion"/>
  </si>
  <si>
    <t>xoxolibrarian@naver.com</t>
    <phoneticPr fontId="15" type="noConversion"/>
  </si>
  <si>
    <t>전의 도래샘작은도서관</t>
    <phoneticPr fontId="15" type="noConversion"/>
  </si>
  <si>
    <t>박 민 아</t>
    <phoneticPr fontId="15" type="noConversion"/>
  </si>
  <si>
    <t>044-301-5861</t>
    <phoneticPr fontId="15" type="noConversion"/>
  </si>
  <si>
    <t>010-5652-0407</t>
    <phoneticPr fontId="15" type="noConversion"/>
  </si>
  <si>
    <t>pma85@naver.com</t>
    <phoneticPr fontId="15" type="noConversion"/>
  </si>
  <si>
    <t>연동면 작은도서관</t>
    <phoneticPr fontId="15" type="noConversion"/>
  </si>
  <si>
    <t>최 지 희</t>
    <phoneticPr fontId="15" type="noConversion"/>
  </si>
  <si>
    <t>044-301-5318</t>
    <phoneticPr fontId="15" type="noConversion"/>
  </si>
  <si>
    <t>010-2019-6936</t>
    <phoneticPr fontId="15" type="noConversion"/>
  </si>
  <si>
    <t>wlgml6936@naver.com</t>
    <phoneticPr fontId="15" type="noConversion"/>
  </si>
  <si>
    <t>조치원읍 도서관</t>
    <phoneticPr fontId="15" type="noConversion"/>
  </si>
  <si>
    <t>곽 종 선</t>
    <phoneticPr fontId="15" type="noConversion"/>
  </si>
  <si>
    <t>044-301-5092</t>
    <phoneticPr fontId="15" type="noConversion"/>
  </si>
  <si>
    <t>010-8207-8348</t>
    <phoneticPr fontId="15" type="noConversion"/>
  </si>
  <si>
    <t>lovejs1004@hanmail.net</t>
    <phoneticPr fontId="15" type="noConversion"/>
  </si>
  <si>
    <t>싱싱도서관</t>
    <phoneticPr fontId="15" type="noConversion"/>
  </si>
  <si>
    <t>오 채 은</t>
    <phoneticPr fontId="15" type="noConversion"/>
  </si>
  <si>
    <t>044-865-1361</t>
    <phoneticPr fontId="15" type="noConversion"/>
  </si>
  <si>
    <t>010-6609-3742</t>
    <phoneticPr fontId="15" type="noConversion"/>
  </si>
  <si>
    <t>mint6876@naver.com</t>
    <phoneticPr fontId="15" type="noConversion"/>
  </si>
  <si>
    <t>전의 나무도서관</t>
    <phoneticPr fontId="15" type="noConversion"/>
  </si>
  <si>
    <t>김 희 숙</t>
    <phoneticPr fontId="15" type="noConversion"/>
  </si>
  <si>
    <t>044-301-5862</t>
    <phoneticPr fontId="15" type="noConversion"/>
  </si>
  <si>
    <t>010-9358-3692</t>
    <phoneticPr fontId="15" type="noConversion"/>
  </si>
  <si>
    <t>khshahaha@daum.net</t>
    <phoneticPr fontId="15" type="noConversion"/>
  </si>
  <si>
    <t>어진 작은도서관</t>
    <phoneticPr fontId="15" type="noConversion"/>
  </si>
  <si>
    <t>박 미 숙</t>
    <phoneticPr fontId="15" type="noConversion"/>
  </si>
  <si>
    <t>044-301-7561</t>
    <phoneticPr fontId="15" type="noConversion"/>
  </si>
  <si>
    <t>010-2839-8786</t>
    <phoneticPr fontId="15" type="noConversion"/>
  </si>
  <si>
    <t>ms7126@naver.com</t>
    <phoneticPr fontId="15" type="noConversion"/>
  </si>
  <si>
    <t xml:space="preserve">책문화센터 </t>
    <phoneticPr fontId="15" type="noConversion"/>
  </si>
  <si>
    <t>양 민 정</t>
    <phoneticPr fontId="15" type="noConversion"/>
  </si>
  <si>
    <t>044-300-8942</t>
    <phoneticPr fontId="15" type="noConversion"/>
  </si>
  <si>
    <t>010-4002-1123</t>
    <phoneticPr fontId="15" type="noConversion"/>
  </si>
  <si>
    <t>mjyang12@korea.kr</t>
    <phoneticPr fontId="15" type="noConversion"/>
  </si>
  <si>
    <t>김 혜 수</t>
    <phoneticPr fontId="15" type="noConversion"/>
  </si>
  <si>
    <t>010-4289-5388</t>
    <phoneticPr fontId="15" type="noConversion"/>
  </si>
  <si>
    <t>hskim_0424@naver.com</t>
    <phoneticPr fontId="15" type="noConversion"/>
  </si>
  <si>
    <t>제품분류</t>
    <phoneticPr fontId="15" type="noConversion"/>
  </si>
  <si>
    <t>유지보수품목</t>
    <phoneticPr fontId="11" type="noConversion"/>
  </si>
  <si>
    <t>010-7208-1478</t>
    <phoneticPr fontId="11" type="noConversion"/>
  </si>
  <si>
    <t>nackllas@koreatech.ac.kr</t>
    <phoneticPr fontId="11" type="noConversion"/>
  </si>
  <si>
    <t>자가대출반납기</t>
    <phoneticPr fontId="15" type="noConversion"/>
  </si>
  <si>
    <t>* 매월 5일 고정 방문 요청.
* 나이콤 송선아 과장 서류 처리.
* 방학기간중 15:00까지 단축근무.</t>
    <phoneticPr fontId="11" type="noConversion"/>
  </si>
  <si>
    <t>2F</t>
    <phoneticPr fontId="15" type="noConversion"/>
  </si>
  <si>
    <t>* 23년 1월 30일 2550 1대 납품(3층 자료실)</t>
  </si>
  <si>
    <t>김응규</t>
    <phoneticPr fontId="15" type="noConversion"/>
  </si>
  <si>
    <t>010-5104-3514</t>
    <phoneticPr fontId="15" type="noConversion"/>
  </si>
  <si>
    <t>010-2708-3307</t>
    <phoneticPr fontId="15" type="noConversion"/>
  </si>
  <si>
    <t>좌석관리시스템</t>
    <phoneticPr fontId="15" type="noConversion"/>
  </si>
  <si>
    <t>대출반납시스템</t>
    <phoneticPr fontId="15" type="noConversion"/>
  </si>
  <si>
    <t>미정</t>
  </si>
  <si>
    <t>* 격월 유지보수
* 310S 유지보수 담당자는 방승창 주무관임
* 24년에 좌석발급기 교체 예산 편성 예정</t>
    <phoneticPr fontId="11" type="noConversion"/>
  </si>
  <si>
    <t>010-9650-0762
010-4710-8001</t>
    <phoneticPr fontId="11" type="noConversion"/>
  </si>
  <si>
    <t>무인반납시스템</t>
    <phoneticPr fontId="15" type="noConversion"/>
  </si>
  <si>
    <t>출입관리게이트</t>
    <phoneticPr fontId="15" type="noConversion"/>
  </si>
  <si>
    <t>* 분기별 유지보수
* 23.2.28 / 게이트 신규 납품(도서관) / 기존사용 1400FG는 폐기처리
* 23.12.15 / 295RS, 1510SM 납품</t>
    <phoneticPr fontId="11" type="noConversion"/>
  </si>
  <si>
    <t>도난방지게이트</t>
    <phoneticPr fontId="15" type="noConversion"/>
  </si>
  <si>
    <t>강지원
윤승호</t>
    <phoneticPr fontId="11" type="noConversion"/>
  </si>
  <si>
    <t>010-5421-5079
010-2780-1296</t>
    <phoneticPr fontId="11" type="noConversion"/>
  </si>
  <si>
    <t xml:space="preserve">	kangbdooll@korea.kr
shyoon88@korea.kr</t>
    <phoneticPr fontId="11" type="noConversion"/>
  </si>
  <si>
    <t>사서용RW</t>
    <phoneticPr fontId="15" type="noConversion"/>
  </si>
  <si>
    <t>임소민</t>
  </si>
  <si>
    <t xml:space="preserve">	smin1020@korea.kr</t>
    <phoneticPr fontId="11" type="noConversion"/>
  </si>
  <si>
    <t>안미래</t>
  </si>
  <si>
    <t>010-2752-9372</t>
  </si>
  <si>
    <t xml:space="preserve">	squirrel2@korea.kr</t>
    <phoneticPr fontId="11" type="noConversion"/>
  </si>
  <si>
    <t>shtndnjs96@korea.kr</t>
    <phoneticPr fontId="11" type="noConversion"/>
  </si>
  <si>
    <t>* 21년 6월 납품
* 장비는 A교사동 로비에 위치.</t>
    <phoneticPr fontId="11" type="noConversion"/>
  </si>
  <si>
    <t>* 23.3.15 장비 납품</t>
    <phoneticPr fontId="11" type="noConversion"/>
  </si>
  <si>
    <t>Call</t>
  </si>
  <si>
    <t>* 23.1.9 납품 / 23.1. 20 사서용 리더기 설치</t>
    <phoneticPr fontId="11" type="noConversion"/>
  </si>
  <si>
    <t>임은주</t>
    <phoneticPr fontId="11" type="noConversion"/>
  </si>
  <si>
    <t>darkann@naver.com</t>
    <phoneticPr fontId="11" type="noConversion"/>
  </si>
  <si>
    <t>* 23.2.22 납품 및 설치.</t>
    <phoneticPr fontId="11" type="noConversion"/>
  </si>
  <si>
    <t>RFID범용리더기</t>
    <phoneticPr fontId="15" type="noConversion"/>
  </si>
  <si>
    <t>041-746-5984</t>
    <phoneticPr fontId="11" type="noConversion"/>
  </si>
  <si>
    <t>010-4907-3379</t>
    <phoneticPr fontId="11" type="noConversion"/>
  </si>
  <si>
    <t xml:space="preserve">	chocat@korea.kr</t>
    <phoneticPr fontId="11" type="noConversion"/>
  </si>
  <si>
    <t>심보현</t>
  </si>
  <si>
    <t>041-730-7731</t>
    <phoneticPr fontId="11" type="noConversion"/>
  </si>
  <si>
    <t>010-5172-1835</t>
    <phoneticPr fontId="11" type="noConversion"/>
  </si>
  <si>
    <t>sbh1835@korea.kr</t>
    <phoneticPr fontId="11" type="noConversion"/>
  </si>
  <si>
    <t>* 별도 보안교육 받아야 함(전진영 주무관)
* 9110 / 주출입구 옆 방풍실 위치</t>
    <phoneticPr fontId="11" type="noConversion"/>
  </si>
  <si>
    <t>010-8572-3255</t>
    <phoneticPr fontId="11" type="noConversion"/>
  </si>
  <si>
    <t>* 23.11.14 납품 / 17일 검수.
* 100RD(2) 폐기(별도 보관) / 300H(1), 230RS(1), 500RH(1) 기존 사용 장비
 → 500RH 방전
* 사이버관제실(정명훈 소령) / 010-5870-5363, 041-831-3527, 901-3572
* 무상 기간 중 매월 영업 차원 방문 점검
* 500RH 배터리 방전으로 인한 사용 불가(기관 전달 완료)</t>
    <phoneticPr fontId="11" type="noConversion"/>
  </si>
  <si>
    <t>RFID범용리더기</t>
    <phoneticPr fontId="11" type="noConversion"/>
  </si>
  <si>
    <t>* 1대 별도 보관</t>
    <phoneticPr fontId="11" type="noConversion"/>
  </si>
  <si>
    <t>* 23년 방전으로 사용불가 안내 완료</t>
    <phoneticPr fontId="11" type="noConversion"/>
  </si>
  <si>
    <t>박인경</t>
  </si>
  <si>
    <t>041-530-6731</t>
  </si>
  <si>
    <t xml:space="preserve">600RS(1)
</t>
    <phoneticPr fontId="11" type="noConversion"/>
  </si>
  <si>
    <t xml:space="preserve">
450RA(1)
</t>
    <phoneticPr fontId="11" type="noConversion"/>
  </si>
  <si>
    <t xml:space="preserve">100RD(3) 
</t>
    <phoneticPr fontId="11" type="noConversion"/>
  </si>
  <si>
    <t xml:space="preserve">200RP(1)
</t>
    <phoneticPr fontId="11" type="noConversion"/>
  </si>
  <si>
    <t xml:space="preserve">
450C(2)
</t>
    <phoneticPr fontId="11" type="noConversion"/>
  </si>
  <si>
    <t>500RH(1)</t>
    <phoneticPr fontId="11" type="noConversion"/>
  </si>
  <si>
    <t>최한빈</t>
  </si>
  <si>
    <t>041-530-6631</t>
  </si>
  <si>
    <t>채움CNI</t>
    <phoneticPr fontId="15" type="noConversion"/>
  </si>
  <si>
    <t>K•LAS</t>
    <phoneticPr fontId="15" type="noConversion"/>
  </si>
  <si>
    <t>ECO</t>
    <phoneticPr fontId="15" type="noConversion"/>
  </si>
  <si>
    <t>K•CMS</t>
    <phoneticPr fontId="15" type="noConversion"/>
  </si>
  <si>
    <t>SEWOO</t>
    <phoneticPr fontId="15" type="noConversion"/>
  </si>
  <si>
    <t>K•DUAL</t>
    <phoneticPr fontId="15" type="noConversion"/>
  </si>
  <si>
    <t>채움CNI</t>
  </si>
  <si>
    <t>장준성</t>
    <phoneticPr fontId="15" type="noConversion"/>
  </si>
  <si>
    <t>041-629-2081</t>
    <phoneticPr fontId="15" type="noConversion"/>
  </si>
  <si>
    <t>010-6374-9511</t>
    <phoneticPr fontId="15" type="noConversion"/>
  </si>
  <si>
    <t>dd3113@korea.kr</t>
    <phoneticPr fontId="15" type="noConversion"/>
  </si>
  <si>
    <t>심보현</t>
    <phoneticPr fontId="15" type="noConversion"/>
  </si>
  <si>
    <t>041-730-7736</t>
    <phoneticPr fontId="15" type="noConversion"/>
  </si>
  <si>
    <t>010-5172-1835</t>
    <phoneticPr fontId="15" type="noConversion"/>
  </si>
  <si>
    <t>sbh1835@korea.kr</t>
    <phoneticPr fontId="15" type="noConversion"/>
  </si>
  <si>
    <t>전서경</t>
    <phoneticPr fontId="15" type="noConversion"/>
  </si>
  <si>
    <t>010-6405-6978</t>
    <phoneticPr fontId="15" type="noConversion"/>
  </si>
  <si>
    <t>seokyung13@cne.go.kr</t>
    <phoneticPr fontId="15" type="noConversion"/>
  </si>
  <si>
    <t>010-9431-8599</t>
    <phoneticPr fontId="15" type="noConversion"/>
  </si>
  <si>
    <t>김혜연</t>
    <phoneticPr fontId="15" type="noConversion"/>
  </si>
  <si>
    <t>010-5097-4818</t>
    <phoneticPr fontId="15" type="noConversion"/>
  </si>
  <si>
    <t>khy0242@cne.go.kr</t>
    <phoneticPr fontId="15" type="noConversion"/>
  </si>
  <si>
    <t>최지연</t>
    <phoneticPr fontId="15" type="noConversion"/>
  </si>
  <si>
    <t>010-5022-8649</t>
    <phoneticPr fontId="15" type="noConversion"/>
  </si>
  <si>
    <t>skyblueida@cne.go.kr</t>
    <phoneticPr fontId="15" type="noConversion"/>
  </si>
  <si>
    <t>5joohn@cne.go.kr</t>
    <phoneticPr fontId="15" type="noConversion"/>
  </si>
  <si>
    <t>김나래</t>
    <phoneticPr fontId="15" type="noConversion"/>
  </si>
  <si>
    <t>010-4388-5863</t>
    <phoneticPr fontId="15" type="noConversion"/>
  </si>
  <si>
    <t>narae64@korea.kr</t>
    <phoneticPr fontId="15" type="noConversion"/>
  </si>
  <si>
    <t>유재현</t>
    <phoneticPr fontId="15" type="noConversion"/>
  </si>
  <si>
    <t>010-2563-5023</t>
    <phoneticPr fontId="15" type="noConversion"/>
  </si>
  <si>
    <t>ch5110@korea.kr</t>
    <phoneticPr fontId="15" type="noConversion"/>
  </si>
  <si>
    <t>나이콤</t>
    <phoneticPr fontId="15" type="noConversion"/>
  </si>
  <si>
    <t>110RD</t>
    <phoneticPr fontId="15" type="noConversion"/>
  </si>
  <si>
    <t>미정</t>
    <phoneticPr fontId="15" type="noConversion"/>
  </si>
  <si>
    <t>230RS</t>
    <phoneticPr fontId="15" type="noConversion"/>
  </si>
  <si>
    <t>번호</t>
    <phoneticPr fontId="15" type="noConversion"/>
  </si>
  <si>
    <t>일자</t>
    <phoneticPr fontId="15" type="noConversion"/>
  </si>
  <si>
    <t>처리일자</t>
    <phoneticPr fontId="15" type="noConversion"/>
  </si>
  <si>
    <t>분류</t>
    <phoneticPr fontId="15" type="noConversion"/>
  </si>
  <si>
    <t xml:space="preserve">제목 </t>
    <phoneticPr fontId="15" type="noConversion"/>
  </si>
  <si>
    <t>내용</t>
    <phoneticPr fontId="15" type="noConversion"/>
  </si>
  <si>
    <t>진행</t>
    <phoneticPr fontId="15" type="noConversion"/>
  </si>
  <si>
    <t>답변</t>
    <phoneticPr fontId="15" type="noConversion"/>
  </si>
  <si>
    <t>도서관</t>
    <phoneticPr fontId="15" type="noConversion"/>
  </si>
  <si>
    <t>비고</t>
    <phoneticPr fontId="15" type="noConversion"/>
  </si>
  <si>
    <t>정기방문</t>
    <phoneticPr fontId="15" type="noConversion"/>
  </si>
  <si>
    <t>정기점검 방문</t>
    <phoneticPr fontId="15" type="noConversion"/>
  </si>
  <si>
    <t>정기 점검하였으나 이상 없음</t>
    <phoneticPr fontId="15" type="noConversion"/>
  </si>
  <si>
    <t>처리완료</t>
    <phoneticPr fontId="15" type="noConversion"/>
  </si>
  <si>
    <t>Kdevice 버전 업데이트 및 설치</t>
    <phoneticPr fontId="11" type="noConversion"/>
  </si>
  <si>
    <t>소담동도서관</t>
    <phoneticPr fontId="15" type="noConversion"/>
  </si>
  <si>
    <t>소정작은도서관</t>
    <phoneticPr fontId="15" type="noConversion"/>
  </si>
  <si>
    <t>전의나무작은도서관</t>
    <phoneticPr fontId="15" type="noConversion"/>
  </si>
  <si>
    <t>전의도래샘도서관</t>
    <phoneticPr fontId="15" type="noConversion"/>
  </si>
  <si>
    <t>현장방문</t>
    <phoneticPr fontId="15" type="noConversion"/>
  </si>
  <si>
    <t>PC 초기화</t>
    <phoneticPr fontId="15" type="noConversion"/>
  </si>
  <si>
    <t>초기화 진행으로 현장방문을 통하여 재설치 요청</t>
    <phoneticPr fontId="15" type="noConversion"/>
  </si>
  <si>
    <t>Kdevice 및 NICOM장비 셋팅 현장처리완료</t>
    <phoneticPr fontId="15" type="noConversion"/>
  </si>
  <si>
    <t>반곡동도서관</t>
    <phoneticPr fontId="15" type="noConversion"/>
  </si>
  <si>
    <t>대출반납</t>
    <phoneticPr fontId="15" type="noConversion"/>
  </si>
  <si>
    <t>원래 있던 프로그램이 사라져서 방문요청</t>
    <phoneticPr fontId="15" type="noConversion"/>
  </si>
  <si>
    <t>chip list프로그램로 확인됨 현장방문 통하여 사용할 수 있도록 설정도와드림</t>
    <phoneticPr fontId="15" type="noConversion"/>
  </si>
  <si>
    <t>고운남측 도서관</t>
    <phoneticPr fontId="15" type="noConversion"/>
  </si>
  <si>
    <t>조치원 어린이 도서관</t>
    <phoneticPr fontId="15" type="noConversion"/>
  </si>
  <si>
    <t>책문화센터</t>
    <phoneticPr fontId="15" type="noConversion"/>
  </si>
  <si>
    <t>대출시 로딩이 오래 걸림 (동영상찍음)</t>
    <phoneticPr fontId="15" type="noConversion"/>
  </si>
  <si>
    <t>알약으로인하여 장비 오류발생(현장에서 처리완료)</t>
    <phoneticPr fontId="15" type="noConversion"/>
  </si>
  <si>
    <t>싱싱장터 도서관</t>
    <phoneticPr fontId="15" type="noConversion"/>
  </si>
  <si>
    <t>어진동작은 도서관</t>
    <phoneticPr fontId="15" type="noConversion"/>
  </si>
  <si>
    <t>다중로그인이 가능한지 문의 (답변: 불가능)</t>
    <phoneticPr fontId="15" type="noConversion"/>
  </si>
  <si>
    <t>대출시 보안해제 및 설정에 오류가 있었지만 현장에서 확인 시 로그에 에러가 없으므로 장비 업체 방문시 KLAS 에서의 문제시 연락주시면 현장방문을 통하여 도와드린다고 전달드림</t>
    <phoneticPr fontId="15" type="noConversion"/>
  </si>
  <si>
    <t>전화문의</t>
    <phoneticPr fontId="15" type="noConversion"/>
  </si>
  <si>
    <t xml:space="preserve">마크 </t>
    <phoneticPr fontId="15" type="noConversion"/>
  </si>
  <si>
    <t>마크를 업체에 맡기려고 하는데 아이디 생성에 대하여 요청</t>
    <phoneticPr fontId="15" type="noConversion"/>
  </si>
  <si>
    <t>이사님께서 전화통화로 처리완료</t>
    <phoneticPr fontId="15" type="noConversion"/>
  </si>
  <si>
    <t>분실방지안테나</t>
    <phoneticPr fontId="15" type="noConversion"/>
  </si>
  <si>
    <t>분실방지안테나가 분홍빛으로 계속 울림</t>
    <phoneticPr fontId="15" type="noConversion"/>
  </si>
  <si>
    <t>주변에 도서가 있는지 2미터 정도까지는 도서가 인식됨 / 컴퓨터 재부팅 요청</t>
    <phoneticPr fontId="15" type="noConversion"/>
  </si>
  <si>
    <t>5층 RFID 장비</t>
    <phoneticPr fontId="15" type="noConversion"/>
  </si>
  <si>
    <t>없는도서가 계속 인식됨</t>
    <phoneticPr fontId="15" type="noConversion"/>
  </si>
  <si>
    <t>주변에 도서가 있는지 컴퓨터 재부팅 요청 도서가 장비 밑에 있어 인식이 되었던걸로 확인됨 처리완료</t>
    <phoneticPr fontId="15" type="noConversion"/>
  </si>
  <si>
    <t xml:space="preserve"> </t>
    <phoneticPr fontId="15" type="noConversion"/>
  </si>
  <si>
    <t>스마트도서관 대출 책 현장에서 반납처리시 팝업 안내 요청</t>
    <phoneticPr fontId="15" type="noConversion"/>
  </si>
  <si>
    <t>조치원어린이도서관</t>
    <phoneticPr fontId="15" type="noConversion"/>
  </si>
  <si>
    <t xml:space="preserve">중복로그인 안되는것에 대한 문의 </t>
    <phoneticPr fontId="15" type="noConversion"/>
  </si>
  <si>
    <t>중복로그인 문의/RFID장비 문제 인식이 가끔안됨(정수글로벌)</t>
    <phoneticPr fontId="15" type="noConversion"/>
  </si>
  <si>
    <t>RFID응용프로그램 이슈로 RFID 인식 불가(ECO)</t>
    <phoneticPr fontId="15" type="noConversion"/>
  </si>
  <si>
    <t>RFID 장비 인식 못함 현장에서 조치완료/ 1층 무인반납기 팝업에 점검중 표시 현장에서 확인하였을때 정상적으로 작동중이라 확인 불가/ 회원증 프린터 드라이브 설치 요청</t>
    <phoneticPr fontId="15" type="noConversion"/>
  </si>
  <si>
    <t>공사중 4월초 재오픈 예정 (무인반납 관리에서 구분을 적용안함으로 설정 가능한지 원래는 그렇게 되었던것 같은데 요즘은 무인반납관리에서 구분을 적용안함을 찾아서 누르고 진행하여되서 불편)</t>
    <phoneticPr fontId="15" type="noConversion"/>
  </si>
  <si>
    <t>대출반납이 느림</t>
    <phoneticPr fontId="15" type="noConversion"/>
  </si>
  <si>
    <t>카드프린터 및 Kdevice</t>
    <phoneticPr fontId="15" type="noConversion"/>
  </si>
  <si>
    <t xml:space="preserve">카드 프린터 드라이브 설치가 안됨 그리고 Kdevoce 오류 </t>
    <phoneticPr fontId="15" type="noConversion"/>
  </si>
  <si>
    <t>카드 프린터 드라이버 설치는 현장에서 설치완료했고 RFID 인식 오류 및 대출 반납이 진행이 안되는 상황이 였으면 확인 결과 컴퓨터 업데이트 및 하드보안관 문제로 확인됨 현장에서 포트 번호가 변경이 되어 포트 번호 수정후 업데이트를 진행하였고 업데이트 버전이 낮아 업데이트 하는데 시간이 오래걸림 또한 하드보안관 해제 후 수정 한 다음 복구를 하면 디바이스 경로가 계속 수정되는 현상이 나타났고, 하드보안관 문제로 보고 이경재 주임 방문으로 하드보안관 삭제 , 그 후 제대로 작동하는걸로 확인함</t>
    <phoneticPr fontId="15" type="noConversion"/>
  </si>
  <si>
    <t>홈페이지 에러</t>
    <phoneticPr fontId="15" type="noConversion"/>
  </si>
  <si>
    <t>홈페이지에서 401에러 확인 도서 검색과 로그인이 되지 않음</t>
    <phoneticPr fontId="15" type="noConversion"/>
  </si>
  <si>
    <t>채움도움요청으로 용량 확장</t>
    <phoneticPr fontId="15" type="noConversion"/>
  </si>
  <si>
    <t>세종시 도서관</t>
    <phoneticPr fontId="15" type="noConversion"/>
  </si>
  <si>
    <t xml:space="preserve">카드프린트 </t>
    <phoneticPr fontId="15" type="noConversion"/>
  </si>
  <si>
    <t>카드프린트를 공유하여 다같이 쓰고 있었지만 현재 프린트가 안되므로 현장 방문하여 드라이버 설치 요청</t>
    <phoneticPr fontId="15" type="noConversion"/>
  </si>
  <si>
    <t>윈도우10부터는 공유하여 프린트 하는걸 막고 있으므로 안됨 담당자전달완료</t>
    <phoneticPr fontId="15" type="noConversion"/>
  </si>
  <si>
    <t>올해 초부터 상호대차 복귀 처리할때 처리 속도가 2분 정도씩 걸린다고 함.
  → 보통 15시에서 16시 사이에 처리하며 5권씩 처리한다고 함.
  → 간헐적으로 대출반납할 경우에도 시간이 오래 걸리는 경우가 있다고 함.</t>
    <phoneticPr fontId="15" type="noConversion"/>
  </si>
  <si>
    <r>
      <t xml:space="preserve">현장에서 테스트 결과 정상 복귀 처리 확인
증상 발생 시 시간과 도서 정보 기록해달라고 함.
모니터링 안내
</t>
    </r>
    <r>
      <rPr>
        <sz val="14"/>
        <color rgb="FFFF0000"/>
        <rFont val="돋움"/>
        <family val="3"/>
        <charset val="129"/>
      </rPr>
      <t>추후 점검시 상세 확인 필요.</t>
    </r>
    <phoneticPr fontId="11" type="noConversion"/>
  </si>
  <si>
    <t>RFID 인식 오류에 대해 확인 결과 이상 없는걸로 확인됨 추후 문의시 그 시간대 확인 후 회신부탁드림</t>
    <phoneticPr fontId="15" type="noConversion"/>
  </si>
  <si>
    <t>타관대출시 지연현상</t>
    <phoneticPr fontId="15" type="noConversion"/>
  </si>
  <si>
    <t>어진그림책도서관</t>
    <phoneticPr fontId="15" type="noConversion"/>
  </si>
  <si>
    <t>달라지거나 하지는 않음 하지만, 타관대출반납이 많지않아 잘 느끼지 못함</t>
    <phoneticPr fontId="15" type="noConversion"/>
  </si>
  <si>
    <t>상호대차 반입 시간 11시 상호대차 도서를 대출 반납 하는 시간은 대부분 3시~4시 또는 5시~6시 로 확인 됨 추후 원격을 통하여 확인해드리기로 함</t>
    <phoneticPr fontId="15" type="noConversion"/>
  </si>
  <si>
    <t>메일문의</t>
    <phoneticPr fontId="15" type="noConversion"/>
  </si>
  <si>
    <t>상호대차 통계</t>
    <phoneticPr fontId="15" type="noConversion"/>
  </si>
  <si>
    <t xml:space="preserve">상호대차 통게관련해서 문의드려요~
자료제출을 해야하는데, 2024년 상호대차 최종 건수를 확인하려고 상호대차 통계로 들어갔는데, 
어떤 수치로 봐야하는지, 잘 모르겠어서요,,,
신청은 168건이 들어왔고, 신청취소(25) 및 발송거절(25)이 50건으로 나오는데
그럼 발송이 118건인 것 같은데, 124건이라고 나오고..
저희 도서관에서 발송한 수치를 최종 수치로 보면 되는건가요..? </t>
    <phoneticPr fontId="15" type="noConversion"/>
  </si>
  <si>
    <t>정기점검 방문으로 현장답변드림</t>
    <phoneticPr fontId="15" type="noConversion"/>
  </si>
  <si>
    <t>홈페이지</t>
    <phoneticPr fontId="15" type="noConversion"/>
  </si>
  <si>
    <t>홈페이지 게시물 수정</t>
    <phoneticPr fontId="15" type="noConversion"/>
  </si>
  <si>
    <t>안녕하세요
기관안내&gt;역대원장에 첨부파일1로 내용 추가 부탁드립니다.
기관안내&gt;조직도&gt;직원소개내용을 첨부파일2로 변경부탁드립니다. 감사합니다.</t>
    <phoneticPr fontId="15" type="noConversion"/>
  </si>
  <si>
    <t>관리자 계정 초기화 관련</t>
    <phoneticPr fontId="15" type="noConversion"/>
  </si>
  <si>
    <t>평생교육원 관리자 계정 초기화 요청  평생교육원에서 인사이동으로 아산도서관 발령을 받았지만 평생교육원 관리자 계정이 되지 않아 이동이 안되는 현상</t>
    <phoneticPr fontId="15" type="noConversion"/>
  </si>
  <si>
    <t>초기화 후 비밀번호 안내 완료</t>
    <phoneticPr fontId="15" type="noConversion"/>
  </si>
  <si>
    <t xml:space="preserve">평생교육원 관리자 계정 초기화 요청  </t>
    <phoneticPr fontId="15" type="noConversion"/>
  </si>
  <si>
    <t>초기화 후 비밀번호 안내 완료 (25/01/02 전달드렸지만 담당선생님께 제대로 전달이 되지않아 다시요청)</t>
    <phoneticPr fontId="15" type="noConversion"/>
  </si>
  <si>
    <t>팝업 삭제 요청드립니다</t>
    <phoneticPr fontId="15" type="noConversion"/>
  </si>
  <si>
    <t>안녕하세요.
당진도서관 홈페이지 희망도서, 상호대차 마감 팝업 삭제 요청 드립니다.
새해복 많이 받으세요! 
감사합니다.</t>
    <phoneticPr fontId="15" type="noConversion"/>
  </si>
  <si>
    <t>자료현황 및 기준일 수정 요청</t>
    <phoneticPr fontId="15" type="noConversion"/>
  </si>
  <si>
    <t xml:space="preserve">기관안내 -일반현황- 자료현황 
2025.01.01. 기준으로 첨부파일과 같이 자료현황, 기준일 수정 부착드립니다
감사합니다. </t>
    <phoneticPr fontId="15" type="noConversion"/>
  </si>
  <si>
    <t>문헌정보부</t>
    <phoneticPr fontId="15" type="noConversion"/>
  </si>
  <si>
    <t>게시판 내용 수정</t>
    <phoneticPr fontId="15" type="noConversion"/>
  </si>
  <si>
    <t>기관안내&gt;주요업무계획 내용을 아래 첨부파일 내용으로 바꿔주세요 감사합니다.</t>
    <phoneticPr fontId="15" type="noConversion"/>
  </si>
  <si>
    <t>게시물 수정 첨부파일 변경</t>
    <phoneticPr fontId="15" type="noConversion"/>
  </si>
  <si>
    <t>첨부파일 내용이 변경되어 현재 파일로 변경부탁드립니다. 감사합니다.
기관안내&gt;주요업무계획</t>
    <phoneticPr fontId="15" type="noConversion"/>
  </si>
  <si>
    <t>팝업게시요청</t>
    <phoneticPr fontId="15" type="noConversion"/>
  </si>
  <si>
    <t>팝업 게시 요청 드립니다.(첨부파일 2건)
1. 팝업제목: 2025 신년사
2. 팝업게시기간: 2025.1.3.~2025.1.10.
감사합니다.</t>
    <phoneticPr fontId="15" type="noConversion"/>
  </si>
  <si>
    <t>팝업 및 슬라이드 배너 삭제 요청</t>
    <phoneticPr fontId="15" type="noConversion"/>
  </si>
  <si>
    <t xml:space="preserve">슬라이드 배너의 2025년 겨울방학 특강 삭제 요청드립니다. 
팝업에서 2025년 겨울방학 특강, 웹툰 특강 안내 팝업 삭제 요청드립니다. 감사합니다. </t>
    <phoneticPr fontId="15" type="noConversion"/>
  </si>
  <si>
    <t>평생교육-프로그램시간표에 있는 시간표 내용 삭제 부탁드립니다. 감사합니다.</t>
    <phoneticPr fontId="15" type="noConversion"/>
  </si>
  <si>
    <t>직원소개 수정 요청</t>
    <phoneticPr fontId="15" type="noConversion"/>
  </si>
  <si>
    <t>안녕하세요.
홈페이지 - 도서관소개-직원소개를
첨부와 같이 정정 부탁드립니다.
감사합니다.</t>
    <phoneticPr fontId="15" type="noConversion"/>
  </si>
  <si>
    <t>자료관리</t>
    <phoneticPr fontId="15" type="noConversion"/>
  </si>
  <si>
    <t>상호대차 횟수 확인 요청</t>
    <phoneticPr fontId="15" type="noConversion"/>
  </si>
  <si>
    <t>안녕하세요.
이용자 주은아님 (14400520000454)께서
오늘 상호대차 신청을 하시려는데 횟수 초과라고 뜬다고 합니다.
1월 2일 9시부터 리셋 된다고 알고 있는데,
확인 요청드립니다.
새해 복 많이 받으세요.
감사합니다.</t>
    <phoneticPr fontId="15" type="noConversion"/>
  </si>
  <si>
    <t xml:space="preserve"> 확인결과 횟수 초과에 대한 내용이 보이지 않으므로 한번 더 확인 후 재요청 전화로 안내드림. 25/01/06 11:00.</t>
    <phoneticPr fontId="15" type="noConversion"/>
  </si>
  <si>
    <t>상호대차 거절 건수 확인 요청</t>
    <phoneticPr fontId="15" type="noConversion"/>
  </si>
  <si>
    <t>업무에 노고 많으십니다.
당진도서관 2024년 상호대차 거절 건수가 3건으로 확인되는데
정확히 어떤 건인지 확인할 수 있을까요?</t>
    <phoneticPr fontId="15" type="noConversion"/>
  </si>
  <si>
    <t xml:space="preserve"> 전화 안내드림. 25/01/06 11:00 상호대차 제공거절 내용을 확인 하였을 때 1권 외 23년도 해가 지나면서 거절이 되어 통계에 24년도로 확인이 되는걸로 확인됨.</t>
    <phoneticPr fontId="15" type="noConversion"/>
  </si>
  <si>
    <t>상호대차 오류</t>
    <phoneticPr fontId="15" type="noConversion"/>
  </si>
  <si>
    <t>안녕하세요.
당진도서관 EMM000073246 - 중학생이 보는 역사 개념 교과서 2.
상기의 책이 상호대차 신청하려고 하면 해당 도서관에 문의하라고 뜬다고 합니다.
다른 상호대차 신청은 잘 들어오고 있으며,
해당 책을 k.las 검색해보면 문제는 없는거 같아요.
확인 부탁 드립니다.</t>
    <phoneticPr fontId="15" type="noConversion"/>
  </si>
  <si>
    <t xml:space="preserve"> 전화 처리완료. 25/01/06 11:00 확인결과 정상적으로 상호대차가 진행이 되는걸로 확인됨. 일시적인 현상으로 확인됨.</t>
    <phoneticPr fontId="15" type="noConversion"/>
  </si>
  <si>
    <t>업무담당자 소속기관 변경요청</t>
    <phoneticPr fontId="15" type="noConversion"/>
  </si>
  <si>
    <t>안녕하세요
2025.1.1.일자 인사이동에 따라서 업무담당자의 소속기관 변경 요청드립니다.
ㅇ 대상자: 이지숙(아이디: 이지숙)
ㅇ 기존 소속기관: 충청남도아산교육지원청아산도서관
ㅇ 현재 소속기관: 충청남도홍성교육지원청홍성도서관 으로 변경 바랍니다.
그리고 홍성도서관 관리자에서 어떤식으로 변경하는 지 방법도 안내부탁드립니다.
감사합니다.</t>
    <phoneticPr fontId="15" type="noConversion"/>
  </si>
  <si>
    <t xml:space="preserve"> 전화 처리완료. 25/01/06 10:41
현재 소속기관 도서관에 요청시에 수정이 가능합니다.</t>
    <phoneticPr fontId="15" type="noConversion"/>
  </si>
  <si>
    <t>2층 자료검색대</t>
    <phoneticPr fontId="15" type="noConversion"/>
  </si>
  <si>
    <t>자료검색대 프린트 출력이 안됨/링캠방문으로 프린트 확인하였으나 프린트 문제는 아닌걸로 확인됨</t>
    <phoneticPr fontId="15" type="noConversion"/>
  </si>
  <si>
    <t>이사님 방문</t>
    <phoneticPr fontId="15" type="noConversion"/>
  </si>
  <si>
    <t>상호대차</t>
    <phoneticPr fontId="15" type="noConversion"/>
  </si>
  <si>
    <t>상호대차 공주도서관 책을 수령도서관을 남부평생교육원으로 하였을때 홈페이지 측에서는 남부평생교육원으로 선택이되어 신청이되지만 리브로피아 또는 KLAS에서는 남부평생교육원이 확인이 안됨</t>
    <phoneticPr fontId="15" type="noConversion"/>
  </si>
  <si>
    <t>전화로 안내드림 설정을 바꿔서 다시 진행하여 현재 정상적으로 확인됨</t>
    <phoneticPr fontId="15" type="noConversion"/>
  </si>
  <si>
    <t>관리자 계정 초기화 요청</t>
    <phoneticPr fontId="15" type="noConversion"/>
  </si>
  <si>
    <t>관리자 계정 초기화 후 임시 비밀번호 안내드림</t>
    <phoneticPr fontId="15" type="noConversion"/>
  </si>
  <si>
    <t>상호대차 버튼 활성화</t>
    <phoneticPr fontId="15" type="noConversion"/>
  </si>
  <si>
    <t>상호대차 신청버튼이 활성화 되지 않음</t>
    <phoneticPr fontId="15" type="noConversion"/>
  </si>
  <si>
    <t>확인결과 상호대차제공여부에 N으로 설정이 되어있는걸로 확인됨. 관리자계정 - 도서관 환경설정 - 공통 - 대출환경설정 - 자료제한설정 - 등록구분/자료실/별치기호 상호대차제공여부 N-&gt;Y 로 설정 부탁드림. (전화 안내완료)</t>
    <phoneticPr fontId="15" type="noConversion"/>
  </si>
  <si>
    <t>누리집 조직구성도 변경 요청</t>
    <phoneticPr fontId="15" type="noConversion"/>
  </si>
  <si>
    <t>우리 평생교육원 조직구성도 내용을 붙임 자료로 변경하여 주시기 바랍니다.</t>
    <phoneticPr fontId="15" type="noConversion"/>
  </si>
  <si>
    <t>팝업 삭제 요청</t>
    <phoneticPr fontId="15" type="noConversion"/>
  </si>
  <si>
    <t>임시로 작업스케줄러로 KCMS 로그온시 자동적으로 올라오도록 설정함 정기점검주 지난 후 재방문하여 재설치또는 원격작업해드리기로 함 (1층어린이자료실 듀얼 절전모드시 풀리는 현상도 함께 확인해드리기로함)</t>
    <phoneticPr fontId="15" type="noConversion"/>
  </si>
  <si>
    <t>홈페이지 자료 현황 현행화</t>
    <phoneticPr fontId="15" type="noConversion"/>
  </si>
  <si>
    <t xml:space="preserve">안녕하세요.
당진도서관 홈페이지- 도서관소개-도서관현황-자료현황을
첨부와 같이 수정 부탁 드립니다.
기준일 25. 1. 입니다.
감사합니다.
그리고 3일에 요청드린 직원소개 수정이 아직 반영되지 않았는데
빠른 처리 부탁 드립니다. </t>
    <phoneticPr fontId="15" type="noConversion"/>
  </si>
  <si>
    <t>홈페이지 변경 요청</t>
    <phoneticPr fontId="15" type="noConversion"/>
  </si>
  <si>
    <t>안녕하세요, 홍성도서관입니다.
다음과 같이 홈페이지 변경을 요청드립니다.
1. 도서관 소개&gt;도서관현황&gt;자료현황
 *(2024. 12. 기준)
 *일반도서:54,329
 *아동도서:39,604
 *보존서고 및 기타(없애주세요)
 *계:94,832
2. 자료검색&gt;희망도서신청&gt;도서신청하기
 첨부한 한글 파일에 있는 부분만 변경 부탁드립니다.
 신청권수
 희망자료 구입 제외대상
 신청 시 유의사항
새해 복 많이 받으세요.
감사합니다.</t>
    <phoneticPr fontId="15" type="noConversion"/>
  </si>
  <si>
    <t>컴퓨터 교체</t>
    <phoneticPr fontId="15" type="noConversion"/>
  </si>
  <si>
    <t>2층 종합자료실 컴퓨터 교체작업</t>
    <phoneticPr fontId="15" type="noConversion"/>
  </si>
  <si>
    <t>25/01/08 정기점검 방문을 통해 Kdevice 설치 작업 진행해드리기로함</t>
    <phoneticPr fontId="15" type="noConversion"/>
  </si>
  <si>
    <t>장서점검 소재불명 도서</t>
    <phoneticPr fontId="15" type="noConversion"/>
  </si>
  <si>
    <t>장서점검 프로그램에서 장서점검 결과에서 비치자료 소재불명에서는 분명 emu42827이 검색되는데
k-las 프로그램에서 코드적용안함으로 emu42827을 검색하면 검색결과 자체가 나오지 않아요, 확인 부탁드릴게요~</t>
    <phoneticPr fontId="15" type="noConversion"/>
  </si>
  <si>
    <t>1. 장서점검 프로그램에서 장서점검 결과에서 비치자료 소재불명에서는 분명 emu42827이 검색되는데
k-las 프로그램에서 코드적용안함으로 emu42827을 검색하면 검색결과 자체가 나오지 않아요, 확인 부탁드립니다.
1. 해당 자료는 05년도 기입할당시 문자가 들어가면 안되는 부분(편권차)에 문자가 들어가면서 색인이 잡히지 않아 검색이 안되던건으로 데이터 보정 후
 해당 자료 잘 나오고 있으니 확인해보시기 바랍니다. 편권차 부분에 ㅣ 이런 문자를 넣으셨는데 1권을 표현하고 싶으셨던건지는 모르겠지만 해당 자료 검색되니 보시고 필요부분 수정하도록 안내바랍니다
2. 상호대차 통계관련 
2024년 상호대차 최종 건수를 확인하려고 상호대차 통계로 들어갔는데, 
어떤 수치로 봐야하는지, 잘 모르겠어서요,,,
신청은 168건이 들어왔고, 신청취소(25) 및 발송거절(25)이 50건으로 나오는데
그럼 발송이 118건인 것 같은데, 124건이라고 나오고..
저희 도서관에서 발송한 수치를 최종 수치로 보면 되는건가요.?
2. 상호대차 통계는 말씀하신대로 신청이 168건이면 신청취소와 발송거절이 빠진 숫자만큼 발송이 나와야하는걸로 보여집니다만
해당 건수가 차이가 나는 이유는 일자 조건 때문입니다. 첨부파일 보시면 금산도서관은 신청이 3권 발송이 4권입니다.
검색일자 24년 1월~12월까지 태안도서관책을 금산도서관으로 신청한 권수는 3권이 맞으나, 발송(소장-&gt;대출)은 23년 12월 말에 신청된 자료가 24년 1월에 발송이 되면서 해당 카운트에 잡히게 됩니다.
각 항목마다 기준이 되는 일자가 달라지기에 ( 신청은 신청일자 24년1월~12월, 발송은 발송일자 24년 1월~12월, 타관대출은 대출일자 24년 1월~12월등) 차이가 있는거처럼 보이니
해당 부분 인지하셔서 통계 보시면 됩니다.</t>
    <phoneticPr fontId="15" type="noConversion"/>
  </si>
  <si>
    <t>31번에 대한 내용 처리완료</t>
    <phoneticPr fontId="15" type="noConversion"/>
  </si>
  <si>
    <t>직원소개 재수정 요청</t>
    <phoneticPr fontId="15" type="noConversion"/>
  </si>
  <si>
    <t>안녕하세요.
업무에 노고 많으십니다.
직원소개 수정해주신 내용 잘 확인 했습니다만,
직급(직위) 와 업무내용 표의 칸의 비율이 맞지 않아서 보기에 불편함이 있습니다.
직급(직위)란의 칸 너비를 좀 줄여서 업무내용의 내용이 줄바꿈 되지 않게 해주세요...</t>
    <phoneticPr fontId="15" type="noConversion"/>
  </si>
  <si>
    <t>직원소개부분 수정 부탁드립니다.</t>
    <phoneticPr fontId="15" type="noConversion"/>
  </si>
  <si>
    <t>안녕하세요.
아산도서관 직원소개 첨부파일내용으로 변경부탁드리겠습니다.</t>
    <phoneticPr fontId="15" type="noConversion"/>
  </si>
  <si>
    <t>도서관운영규정(수정)분 게재요청</t>
    <phoneticPr fontId="15" type="noConversion"/>
  </si>
  <si>
    <t>아산도서관 도서관운영규정 붙임파일로 계제요청 드립니다</t>
    <phoneticPr fontId="15" type="noConversion"/>
  </si>
  <si>
    <t>통합전자도서관-알립니다 팝업 수정 및 추가 요청</t>
    <phoneticPr fontId="15" type="noConversion"/>
  </si>
  <si>
    <t>1. 리딩앤 관련 내용 삭제 -&gt; 바로 삭제 부탁드려요
2. 딸기콩 관련 내용 삭제 -&gt; 바로 삭제 부탁드려요 
3. 2025년 충남도서관 통합전자도서관 만족도 조사(설문) : 첨부파일 참조
 안내해주신 팝업 수정 관리자 페이지 접속이 안되어 요청드립니다.</t>
    <phoneticPr fontId="15" type="noConversion"/>
  </si>
  <si>
    <t>담당자</t>
    <phoneticPr fontId="15" type="noConversion"/>
  </si>
  <si>
    <t>팝업 이미지 게시</t>
    <phoneticPr fontId="15" type="noConversion"/>
  </si>
  <si>
    <t>안녕하세요. 서부평생교육원입니다.
붙임 이미지파일 팝업 게시 부탁드립니다.
'알립니다'항목과 별개로 게시 부탁드립니다!
기간은 2025. 1. 9. 10:30~2025. 2. 4. 08:00 입니다.
감사합니다.</t>
    <phoneticPr fontId="15" type="noConversion"/>
  </si>
  <si>
    <t>도서관현황 중 시설현황 수정요청</t>
    <phoneticPr fontId="15" type="noConversion"/>
  </si>
  <si>
    <t>안녕하세요
2025년 실별 변동사항으로 시설현황 수정요청드립니다
첨부파일 확인해주세요
감사합니다. ^^</t>
    <phoneticPr fontId="15" type="noConversion"/>
  </si>
  <si>
    <t>팝업 게시 요청</t>
    <phoneticPr fontId="15" type="noConversion"/>
  </si>
  <si>
    <t>안녕하세요. 금산도서관입니다.
설명절 청탁금지법 관련 팝업 게시 요청드립니다.
- 게시기간: 2025. 1. 9.(목) ~ 2025. 2. 5.(수)
붙임  설명절 청탁금지법 알림창 게시자료 1부.  끝.</t>
    <phoneticPr fontId="15" type="noConversion"/>
  </si>
  <si>
    <t>남부평생교육원 팝업요청</t>
    <phoneticPr fontId="15" type="noConversion"/>
  </si>
  <si>
    <t>남부평생교육원 팝업 요청드립니다.
기간: 2025.1.22. 까지 요청드립니다.</t>
    <phoneticPr fontId="15" type="noConversion"/>
  </si>
  <si>
    <t>평생학습부</t>
    <phoneticPr fontId="15" type="noConversion"/>
  </si>
  <si>
    <t>도서관 누리집 인사말 관장님 이름변경 요청</t>
    <phoneticPr fontId="15" type="noConversion"/>
  </si>
  <si>
    <t xml:space="preserve">도서관소개＞ 인사말 
메뉴에서 
관장님 이름을 김도연 에서 이경아 로 변경 바랍니다。 </t>
    <phoneticPr fontId="15" type="noConversion"/>
  </si>
  <si>
    <t xml:space="preserve">안녕하세요. 서천도서관입니다.
설 명절 청탁금지법 알림창 게시자료 팝업 게시 요청드립니다.
1. 게시자료: 첨부파일 사진파일
2. 게시기간: 2025.1.9.(목) ~ 2025.2.5.(수)
감사합니다.
 </t>
    <phoneticPr fontId="15" type="noConversion"/>
  </si>
  <si>
    <t>누리집 팝업 게시 요청</t>
    <phoneticPr fontId="15" type="noConversion"/>
  </si>
  <si>
    <t>붙임의 내용을 팝업 게시하여 주세요..
기간: 2025. 2. 5(수) 까지</t>
    <phoneticPr fontId="15" type="noConversion"/>
  </si>
  <si>
    <t>KLAS 오류로 컴퓨터 유지보수업체 요청 /25.01.10 확인전화 완료</t>
    <phoneticPr fontId="15" type="noConversion"/>
  </si>
  <si>
    <t>상호대차 횟수 부활</t>
    <phoneticPr fontId="15" type="noConversion"/>
  </si>
  <si>
    <t>아산도서관에서 서부평생교육원으로 상호대차 신청을 했는데 책이 없어서 제공거절을 눌렀습니다
노하연
14401322006497
도서명: 고양이는 다 알아(EMD270615)</t>
    <phoneticPr fontId="15" type="noConversion"/>
  </si>
  <si>
    <t xml:space="preserve"> 25/01/10 . 횟수 복구 되었습니다.</t>
    <phoneticPr fontId="15" type="noConversion"/>
  </si>
  <si>
    <t>보령령도서관에서 상호대차 신청하셨는데 도서가 없어 취소처리 해드렸습니다
상호대차 신청 횟수 부활 부탁드립니다.
14400622003440 박승현
EMD48891 황제의 꿈 : 이원호 장편소설 2
EMD48623 황제의 꿈 : 이원호 장편소설 1</t>
    <phoneticPr fontId="15" type="noConversion"/>
  </si>
  <si>
    <t>행정정보&gt;공공데이터개방의 책임관 성명 변경 요청</t>
    <phoneticPr fontId="15" type="noConversion"/>
  </si>
  <si>
    <t xml:space="preserve">[청양도서관] 행정정보 &gt; 공공데이터개방의 책임관 성명을 김도연에서 이경아로 변경해주기 바랍니다. </t>
    <phoneticPr fontId="15" type="noConversion"/>
  </si>
  <si>
    <t>도서관&gt;도서관현황&gt;자료현황&gt;수치 변경</t>
    <phoneticPr fontId="15" type="noConversion"/>
  </si>
  <si>
    <t xml:space="preserve">자료현황(2025년 1월 1일 기준)
구분	일반도서	아동도서	비도서	합계
자료수	51,484	
38,292
(순회문고 327)
678	90,781
*간행물: 30종 구독 
위 표와 수치로 변경 바랍니다. </t>
    <phoneticPr fontId="15" type="noConversion"/>
  </si>
  <si>
    <t>홈페이지 수정</t>
    <phoneticPr fontId="15" type="noConversion"/>
  </si>
  <si>
    <t>안녕하세요. 서부평생교육원입니다.
자료관리-연속간행물목 하단 표 내용을 붙임과 같이 수정 부탁드립니다.
감사합니다.</t>
    <phoneticPr fontId="15" type="noConversion"/>
  </si>
  <si>
    <t>이용안내&gt;도서관견학 내용 변경 요청</t>
    <phoneticPr fontId="15" type="noConversion"/>
  </si>
  <si>
    <t xml:space="preserve">이용안내 &gt; 도서관견학 메뉴 중
-신청방법(2023년 마감)을 
-신청방법(2025년 준비중) 으로 변경 바랍니다. </t>
    <phoneticPr fontId="15" type="noConversion"/>
  </si>
  <si>
    <t>도서관현황 중 시설현황 수정재요청</t>
    <phoneticPr fontId="15" type="noConversion"/>
  </si>
  <si>
    <t>안녕하세요
시설현황 중 잘못 수정한거 있으셔서 재안내 드립니다.
시설현황 중 지상2층  평생학습1,2실입니다.
확인바랍니다. (현재 평생학습1,3실로 돼있음)</t>
    <phoneticPr fontId="15" type="noConversion"/>
  </si>
  <si>
    <t>프로그램 안내 - 학습동아리 내용 변경 요청</t>
    <phoneticPr fontId="15" type="noConversion"/>
  </si>
  <si>
    <t xml:space="preserve">2025년 학습동아리 운영현황으로 변경 부탁 드립니다.
감사합니다. </t>
    <phoneticPr fontId="15" type="noConversion"/>
  </si>
  <si>
    <t>임시 정회원</t>
    <phoneticPr fontId="15" type="noConversion"/>
  </si>
  <si>
    <t>임시 정회원은 무슨 회원인지에 대한 문의</t>
    <phoneticPr fontId="15" type="noConversion"/>
  </si>
  <si>
    <t>임시정회원을 확인 해 본 결과 이용자 가입일자가 2020년으로 확인됩니다. 도서관 내 정책으로 저희쪽에선 알수 없다는 답변 완료</t>
    <phoneticPr fontId="15" type="noConversion"/>
  </si>
  <si>
    <t>상호대차 횟차 복구 요청</t>
    <phoneticPr fontId="15" type="noConversion"/>
  </si>
  <si>
    <t>안녕하세요, 서천도서관 김한슬입니다.
144010524007258 이승훈님
EMQ000108638 등교거부 심리치료
도서관에 자료가 없어 자료 취소 요청드렸습니다. 
복구 요청드립니다.                                                                           
안녕하세요, 서천도서관 김한슬입니다.
대출자번호:14400524007258
아이디: leesh841
이름: 이승훈님 
EMQ000108638 등교거부 심리치료
도서관에 자료가 없어 자료 취소 요청드렸습니다. 
복구 요청드립니다.
1. 13.(월) 수정</t>
    <phoneticPr fontId="15" type="noConversion"/>
  </si>
  <si>
    <t xml:space="preserve"> 선생님 대출자 번호가 틀리다고 나옵니다.
상호대차 횟수 복구는 대출자번호, 이용자성함, 이용자 아이디, 등록번호, 도서제목 알려주셔야 복구 가능합니다.
수정부탁드립니다.                                            25/01/13 이용자분의 횟수 복구 되었습니다.</t>
    <phoneticPr fontId="15" type="noConversion"/>
  </si>
  <si>
    <t>직원소개 업무내용 변경 요청</t>
    <phoneticPr fontId="15" type="noConversion"/>
  </si>
  <si>
    <t xml:space="preserve">도서관소개 &gt; 직원소개 의 업무명을 
붙임파일 현황으로 변경 바랍니다. 
감사합니다. </t>
    <phoneticPr fontId="15" type="noConversion"/>
  </si>
  <si>
    <t>프로그램 안내 수정 요청</t>
    <phoneticPr fontId="15" type="noConversion"/>
  </si>
  <si>
    <t xml:space="preserve">안녕하세요 당진도서관 남궁다솜입니다.
프로그램 안내-도서관은내친구 부분 수정 요청 드립니다.
견학대상 (기관,단체)
어린이집, 유치원 (5~7세 반), 초등학교(1,2학년 반)
운영일/소요시간
2025. 3. 6.~11. 27. 매주 목요일 10:00~11:00 (8월 제외)
운영인원
20명 이내 (이 이상은 담당자와 논의) 
견학신청안내
신청기간: 2025. 2. 3.(월) 10:00~2. 12.(수) 18:00
신청방법: 온라인 신청 (하단 도서관견학신청 신청하기 버튼 클릭) 
선정기준: 선착순 접수, 견학대상이 다른 경우 한 기관 당 2회 중복 신청 가능 
(담당자 모니터링을 통해 2회 이상 인 경우 취소 예정) 
선정결과: 2. 19.(수) 공문발송·담당자 문자 안내
견학내용
이용안내 (10분), 동화구연, 독후활동 (30분),  자유독서 (20분)
문의(도서관 견학안내)
도서관은 내 친구! 담당자 041-352-8626
자유견학신청
방문 2주 전 담당자 전화 예약 (해당 날짜에 도서관에 행사나 프로그램이 진행되는 경우 자율견학 불가)
★ 작년과 같이 캘린더를 통해 프로그램을 접수 받고자 합니다. 
접수를 딱 10시부터 받고싶은데 사이트에서 구현이 가능한가요? 우선 안내문 첨부해드립니다! </t>
    <phoneticPr fontId="15" type="noConversion"/>
  </si>
  <si>
    <t>안녕하세요 주무관님
2025. 2. 3.(월) 10:00부터 도서관 견학신청 가능하도록 처리하겠습니다.
감사합니다.</t>
    <phoneticPr fontId="15" type="noConversion"/>
  </si>
  <si>
    <t>자료검색대</t>
    <phoneticPr fontId="15" type="noConversion"/>
  </si>
  <si>
    <t>자료검색대 이슈</t>
    <phoneticPr fontId="15" type="noConversion"/>
  </si>
  <si>
    <t>자료검색대 로그온시 자동 창이 올라오지 않아 저번 정기방문때 작업스케줄러로 임시진행상태였다가 재방문을 통하여 작업스케줄러가 아닌 정상적인 방법으로 시작프로그램으로 자동적으로 올라올수있도록 해놓은 상태 지금은 이상없이 정상적으로 올라옴 확인결과 문제는 PC마다 관리자가 여럿이라 아마 적용이 안되어서 올라오지 못한걸로 확인 됨</t>
    <phoneticPr fontId="15" type="noConversion"/>
  </si>
  <si>
    <t>홈페이지 수정 요청</t>
    <phoneticPr fontId="15" type="noConversion"/>
  </si>
  <si>
    <t>안녕하세요 남부평생교육원 홈페이지 수정 부탁드립니다.
자료검색-구독간행물에서
연속간행물목록(2024년) &gt; 연속간행물목록(2025년) 으로 변경 후,
목록은 첨부 파일로 수정 부탁드립니다.
감사합니다~</t>
    <phoneticPr fontId="15" type="noConversion"/>
  </si>
  <si>
    <t>평생학습-학습동아리-소개 수정</t>
    <phoneticPr fontId="15" type="noConversion"/>
  </si>
  <si>
    <t>[평생교육원] 평생학습-학습동아리-소개 수정 내용
순번
동아리명
활동내용
회원수
활동시간
활동장소
비고
1
묵파회
한자서예 심화학습
11
수 13:00~16:00
203호
2
유화
유화 심화학습
9
목 13:00~16:00
202호
3
빛글
실버한글서예 심화학습
10
화 15:00~17:00
203호
4
묵연회
실버한자서예 심화학습
12
목 13:00~16:00
203호
5
그림동아리
미술 관련 심화학습
16
금 13:00~16:00
202호
6
흙만세
도예 심화학습
9
수 10:00~13:00
도예실
7
한빛회
한글서예 심화학습
7
월 13:00~16:00
203호
8
늘푸른캘리
캘리그라피 심화학습
9
화 13:00~16:00
303호
9
한국화
한국화 심화학습
6
토 13:00~16:00
[방학: 9:00~12:00]
203호
10
모바일아트
모바일아트 심화학습
5
목 15:00~17:00
201호</t>
    <phoneticPr fontId="15" type="noConversion"/>
  </si>
  <si>
    <t>1/7에 있었던 KLAS 오류에 대한 쿠키 삭제 요청 정기방문을 통해 인터넷 사용기록 삭제하는 법 안내 드린 후 크롬 권장에 대한 내용 전달완료</t>
    <phoneticPr fontId="15" type="noConversion"/>
  </si>
  <si>
    <t>희망도서 신청 버튼 생성 요청</t>
    <phoneticPr fontId="15" type="noConversion"/>
  </si>
  <si>
    <t>안녕하세요.
금일(1.14.) 오후 1시경 전화로 긴급하게 희망도서 신청버튼 생성을 아직 생성되어 있지 않습니다.
이용자분들이 신청을 많이 하는 관계로 최대한 빨리 생성 부탁드립니다.
도서신청하기 &lt; 희망도서신청 &lt; 자료검색 | 충청남도홍성교육지원청홍성도서관</t>
    <phoneticPr fontId="15" type="noConversion"/>
  </si>
  <si>
    <t>누리집 내용 변경 요청</t>
    <phoneticPr fontId="15" type="noConversion"/>
  </si>
  <si>
    <t>우리 평생교육원 누리집 내용을 다음과 같이 변경하여 주시기 바랍니다.
기관안내-인사말에서
충청남도교육청평생교육원 직원 일동 -&gt; 충청남도교육청평생교육원장</t>
    <phoneticPr fontId="15" type="noConversion"/>
  </si>
  <si>
    <t>알립니다,팝업존 특정 게시물 삭제 요청</t>
    <phoneticPr fontId="15" type="noConversion"/>
  </si>
  <si>
    <t>안녕하세요 아래와 같이 알립니다, 팝업존에 있는 게시물 삭제 요청드립니다.
1. 알립니다.
 -2025 겨울방학 독서교실 수강생 모집
 -휴관안내
2. 팝업존
 -학생교육문화원 휴관안내
감사합니다.
전화 041-904-6836</t>
    <phoneticPr fontId="15" type="noConversion"/>
  </si>
  <si>
    <t>비회원</t>
    <phoneticPr fontId="15" type="noConversion"/>
  </si>
  <si>
    <t>이용자 통계확인시 비회원이 통계에서 확인이 됨 비회원에 대해서</t>
    <phoneticPr fontId="15" type="noConversion"/>
  </si>
  <si>
    <t>비회원은 옛날 T회원 장기연체 회원을 임시적으로 비회원상태/통합도서관이 구축되기전 회원을 개인정보만료로 비회원상태/이외회원은 도서관내 정책이라 알수가 없음 전화 처리완료</t>
    <phoneticPr fontId="15" type="noConversion"/>
  </si>
  <si>
    <t>홈페이지 공지사항 글작성 기능 추가 요청</t>
    <phoneticPr fontId="15" type="noConversion"/>
  </si>
  <si>
    <t>안녕하세요.
홈페이지 공지사항 글쓰기 그림파일을 본문에 게시하게끔 하는 기능 가능한지 여쭤봅니다.
게시판에 글밖에 쓸 수가 없고 첨부파일로만 올리기밖에 안되네요.
빠른 답변 부탁드립니다.
041-335-2628</t>
    <phoneticPr fontId="15" type="noConversion"/>
  </si>
  <si>
    <t xml:space="preserve">이 부분은 교육청 정책이라 정책 정해지면 사용가능하게 가능합니다. </t>
    <phoneticPr fontId="15" type="noConversion"/>
  </si>
  <si>
    <t>누리집 내용, 첨부파일 수정 요청</t>
    <phoneticPr fontId="15" type="noConversion"/>
  </si>
  <si>
    <t>자료검색-찾아가는 책배달 서비스 메뉴 제목 및 내용, 첨부파일 수정부탁드립니다.
메뉴 이름 변경: 찾아가는 책배달 서비스 &gt; 지역사회연계 책배달 서비스 
&lt;내용 변경 사항&gt;
본문: 충청남도교육청평생교육원에서는 도서관 자료 이용 활성화와 지역사회의 책 읽는 분위기 확산을 위하여, 지역주민이 함께 성장할 수 있는 지역사회 연계 책배달 서비스를 운영합니다. 희망하는 기관에서는 아래 내용을 참고하시어 신청해주시기 바랍니다.
기간: 2025.1.~12.
대상: 어린이집, 유치원, 학교, 지역아동센터, 민간단체 등
신청방법
&gt;신청기간: 1월~12월
&gt;신청방법: 신청서 작성 후, 메일(green7723@korea.kr) 또는 팩스(041-557-3210)접수
&gt;제출서류: [붙임] 신청서 제출(신청서에 직인이 누락되지 않도록 주의)
도서 이용 규정 및 관리
대출기간~대출방법: 내용 동일
준수사항: 지정기관은 대출도서의 관리와 운영에 최선을 다해야 하며 분실 및 훼손시 동일도서로 변상
문의: 내용 동일</t>
    <phoneticPr fontId="15" type="noConversion"/>
  </si>
  <si>
    <t>조직도 수정 요청</t>
    <phoneticPr fontId="15" type="noConversion"/>
  </si>
  <si>
    <r>
      <t>조직도 수정 요청드립니다.
기관소개 -&gt; 일반현황 -&gt; 조직도 수정
*****1번) 예술진흥부의 예술교육과장 사무분장 변경
(변경전)
1. 예술교육 운영 총괄
2. 영재교육원 운영 총괄
3. 주요 업무 추진계획
4. 교원인사(파견교사) 관련 사항
5. 문화예술 교육 관련 표창
(변경후)
 1. 예술교육 운영 총괄
 2. 주요 업무 추진계획
 3. 교원인사(파견교사, 기간제) 관련 사항
 4. 문화예술 교육 관련 표창 
******2번) 예술진흥부 첫번째 교사 사무분장 변경
(변경전)
1. 예술교육 기획 업무
2. 영재교육원 업무 기획
3. 영재교육 교육과정 운영
4. 영재교육원 학생, 강사 관리
5. 예술 분야 직무연수 총괄(연극, 예술교육, 무용, 미디어 리터러시)
6. 상설전시장 갤러리 [온:] 기획전 운영
7. 충남 중등 미술 축제(사제동행 전시회)
8. 영재교육원 원격 학습실 운영
(변경후)
1. 예술교육 기획 업무
 2. 예술영재교육원 운영
 3. 예술 분야 직무연수 ㈜
 4. 상설전시장 갤러리 [온:] 운영 
 5. 충남 초·중등 미술 축제
 6. 원격학습실 운영
******3번) 예술진흥부 두번째 교사 사무분장 변경
(변경전)
1. 학생연주단 운영 및 정기연주회 업무
 2. 학교 교육과정 지원 예술 체험활동
 3. 상설전시장 갤러리 [온:] 연간 운영
 4. 영재교육원(음악, 무용) 업무지원
 5. 중등 음악 경연대회 운영
 6. 충남 초</t>
    </r>
    <r>
      <rPr>
        <sz val="14"/>
        <rFont val="Yu Gothic"/>
        <family val="3"/>
        <charset val="128"/>
      </rPr>
      <t>・</t>
    </r>
    <r>
      <rPr>
        <sz val="14"/>
        <rFont val="돋움"/>
        <family val="3"/>
        <charset val="129"/>
      </rPr>
      <t>중등 음악 축제 업무 
 7. 예술가 발굴 및 학생 신인 음악회 업무 
 8. 예술 분야 (음악) 직무연수
 9. 학교문화 예술교육 진흥종합계획 업무
(변경후)
1. 학교 교육과정 지원 예술 체험활동
 2. 악기 뱅크 사업 운영
 3. 미디어아트 상설전시장 운영
 4. 영재교육원 업무지원
 5. 중등 음악 경연대회 운영
 6. 충남 초</t>
    </r>
    <r>
      <rPr>
        <sz val="14"/>
        <rFont val="Yu Gothic"/>
        <family val="3"/>
        <charset val="128"/>
      </rPr>
      <t>・</t>
    </r>
    <r>
      <rPr>
        <sz val="14"/>
        <rFont val="돋움"/>
        <family val="3"/>
        <charset val="129"/>
      </rPr>
      <t xml:space="preserve">중등 음악 축제 업무 
 7. 예술 분야 직무연수 (부)
 8. 시간제 기간제 관리
*****4번) 예술진흥부 두번째교사 아래 한칸 추가한 후 새로 기입
위치: 두번째 교사와 예술사업과장 사이
맨앞칸: 교사 
두번째 칸:  
1. 학교 교육과정 지원 예술 체험활동 지원
2. 미디어아트 상설전시장 운영
3. 예술영재교육원 운영 지원
4. 그 밖의 예술교육 사업 지원
세번째 칸:
904-6851
*****5번) 예술진흥부의 예술사업과장 사무분장 변경
(변경전)
1. 예술사업 운영 지원 총괄
2. 찾아가는 문화예술체험 한마당 운영 총괄
3. 기획공연 운영 총괄
4. 지역사회와 함께하는 꿈 키움 예술교실 총괄
5. 충남 악기 지원센터 운영 총괄
(변경후)
1. 예술사업 운영 총괄
 2. 예술사업 관련 표창
 3. 예술진흥부 예산 관리(추경,특별예산)
 4. 예술진흥부 시설 공사 관리
*****5번) 예술진흥부의 첫번째주무관 사무분장 변경
(변경전)
1. 찾아가는 문화예술체험 한마당 운영
2. 찾아가는 공연 예술단체 선정위원회 및 결과평가 업무
3. 지역공연장으로 찾아가는 마중 콘서트 운영
4. 악기 뱅크 사업 운영
5. 악기 뱅크 악기 순환 배치 및 실태 점검
6. 자치단체 예술 공연 협력 사업
7. 공연장 상주단체 공모사업
(변경후)
1. 찾아가는 문화예술체험 한마당 운영
 2. 지역공연장으로 찾아가는 마중 콘서트 운영 
 3. 학생연주단 운영 및 정기연주회 업무
 4. 자치단체 예술 공연 협력 사업
 5. 공연장 상주단체 공모사업
*****6번) 예술진흥부의 두번째주무관 사무분장 변경
(변경전)
1. 기획공연 사업 운영
2. 기획공연 작품선정위원회 운영
3. 한국문화예술회관연합회 지원 사업 및 연수 관한 업무
4. 충남 학생 연극축제 운영
5. 외부기관 공연프로그램 공모사업
6. 공연 결과 평가 업무
(변경후)
1. 기획공연 사업 운영
 2. 한국문화예술회관연합회 지원 사업 및 연수 관한 업무
3. 충남 학생 연극축제 운영
 4. 외부기관 공연프로그램 공모사업
 5. 공연 결과 평가 업무
*****7번) 예술진흥부의 세번째주무관 사무분장 변경
(변경전)
1. 지역사회와 함께하는 꿈 키움 예술 교실 운영
2. 꿈 키움 예술 교실 학생 및 강사 관리
3. 충남 교직원동아리 활동 지원
4. 지역공연장으로 찾아가는 마중 콘서트 업무지원
5. 기획공연 사업 공연장 업무 지원
6. 예술교육관 소규모 시설 관리
7. 부서 일반행정 업무
(변경후)
 1. 지역사회와 함께하는 꿈 키움 예술 교실 운영
 2. 충남 교직원동아리 활동 지원
 3. 지역공연장으로 찾아가는 마중 콘서트 업무지원
 4. 기획공연 사업 공연장 업무 지원
 5. 예술진흥부 소규모 시설 관리 및 부서 일반행정
 6. 시간제 기간제 인건비 지급
*****8번) 문헌정보부의 문헌정보과장 사무분장 변경
(변경전)
(변경후)
1. 부서 주요업무 수립 및 예산편성에 관한 사항
2. 독서진흥 및 평생교육 기획에 관한 사항
3. 자료실 운영 전반에 관한 사항
4. 도서관 운영위원회 운영에 관한 사항
5. 학교도서관지원센터에 관한 사항
6. 주/월간업무 작성 보고에 관한 사항
7. 기타 도서관 협력에 관한 사항
*****9번) 문헌정보부의 첫번째 주무관 사무분장 변경
(변경전)
1. 독서 및 평생교육 프로그램 운영에 관한 사항
2. 예술 아카데미 및 인문학 콘서트 운영에 관한 사항
3. 세대공감 프로그램 운영에 관한 사항
4. 청소년 독서동아리 운영에 관한 사항
5. 평생학습주간 운영에 관한 사항
6. 부서 주요업무 등 자료 취합
7. 도서관발전종합계획 및 평생교육진흥계획에 관한 사항
8. 도서관 통계 및 평가에 관한 사항
9. 부서 예산에 관한 사항
(변경후)
1. 예술 아카데미 운영에 관한 사항
2. 인문학 콘서트 운영에 관한 사항
3. 청소년 진로탐색 문화예술 강연에 관한 사항
4. 부서 주요업무 등 자료 취합
5. 도서관발전종합계획 및 평생교육진흥계획에 관한 사항
6. 도서관 통계 및 평가에 관한 사항
*****10번) 문헌정보부의 두번째 주무관 사무분장 변경
(변경전)
1. 종합자료실 운영에 관한 사항
2. 학교도서관지원센터 운영에 관한 사항
3. 특화자료(예술, 청소년 도서 등) 수집에 관한 사항
4. 교과서를 나온 예술체험 프로그램 운영에 관한 사항
5. 청소년과 함께하는 아트키움 프로그램 운영에 관한 사항
6. 이 달의 책으로 만나는 문화예술의 날 운영에 관한 사항
(변경후)
1. 독서교실 및 독서문화프로그램 운영에 관한 사항
2. 세대공감 프로그램 운영에 관한 사항
3. 창의융합 어린이 미술교실 운영에 관한 사항
4. 동아리(성인, 청소년) 운영에 관한 사항
5. 평생학습주간 운영에 관한 사항
*****11번) 문헌정보부의 세번째 주무관 사무분장 변경
(변경전)
1. 어린이자료실 운영에 관한 사항
2. 장서구성계획에 관한 사항
3. 정기자료(아동,비도서) 및 희망도서 수집, 관리
4. 도서관주간 및 독서의 달 행사에 관한 사항
5. 연속간행물 수집에 관한 사항
6. 도서관 이용통계에 관한 사항
(변경후)
1. 종합자료실 운영에 관한 사항
2. 정기자료(일반) 및 특화자료(예술, 청소년 도서 등) 수집에 관한 사항
3. 예술도서 전시에 관한 사항
4. 도서관주간 및 독서의 달 행사에 관한 사항
5. 이달의 문화예술 어울림 행사에 관한 사항
6. 학급문고 운영에 관한 사항
7. 연속간행물 수집에 관한 사항
(변경전)
904-6835
(변경후)
904-6839
*****12번) 문헌정보부의 네번째 주무관 사무분장 변경
(변경전)
1. 성인 문해교육 운영에 관한 사항
2. 배려계층 프로그램 운영에 관한 사항
3. 성인 동아리 운영에 관한 사항
4. 주/월간업무 작성 보고에 관한 사항
5. 부서 복무, 보안, 일반서무에 관한 사항
6. 사회복무요원, 청소년 봉사 등에 관한 사항
7. 물품관리에 관한 사항
(변경후)
1. 어린이자료실 운영에 관한 사항 
2. 장서구성계획에 관한 사항
3. 정기자료(아동, 비도서) 및 희망도서 수집, 관리
4. 책배달/상호대차 운영에 관한 사항
5. 도서관 견학 운영 및 재능나눔봉사단에 관한 사항
6. 북큐레이션 및 어린이자료실 행사에 관한 사항
7. 도서관 이용통계에 관한 사항
(변경전)
904-6836
(변경후)
904-6835
*****13번) 문헌정보부의 다섯번째 주무관 사무분장 변경
(변경전)
1. 종합자료실 대출/반납/운영에 관한 사항
2. 교과연계 문화예술 학급문고 운영에 관한 사항
3. 열람실 운영에 관한 사항
4. 연속간행물 관리에 관한 사항
5. 사물함 관리에 관한 사항
6. 도서관 시설물 관리에 관한 사항
(변경후)
1. 성인 문해교육 운영에 관한 사항
2. 배려계층 프로그램 운영에 관한 사항
3. 부서 예산에 관한 사항
4. 부서 복무, 보안, 일반서무에 관한 사항
5. 사회복무요원, 청소년 봉사 등에 관한 사항
6. 물품관리에 관한 사항
(변경전)
904-6839
(변경후)
904-6836
*****14번) 문헌정보부의 여섯번째 주무관 사무분장 변경
(변경전)
1. 어린이 자료실 대출/반납/운영에 관한 사항
2. 도서관 견학 프로그램 운영에 관한 사항
3. 책배달/상호대차/책딩동 운영에 관한 사항
4. 어린이자료실 북큐레이션에 관한 사항
5. 재능나눔 봉사단 운영에 관한 사항
6. 연체자 관리에 관한 사항
(변경후)
1. 종합자료실 대출/반납/운영에 관한 사항
2. 연속간행물 관리에 관한 사항
3. 연체자 관리에 관한 사항 
4. 학급문고 관리에 관한 사항
5. 사물함 관리에 관한 사항
6. 열람실 및 도서관 소규모 시설공사 등 시설물 관리에 관한 사항
******15번) 총무부 총무과장 사무분장 변경
(변경전)
1.부서 업무 기획 및 운영
2. 주요업무에 관한 사항
3. 교육비특별회계 출납원 업무
4. 공연장 대관업무
5. 지방공무원 성과상여금, 근평, 포상 관련 업무
6. 관인 관수에 관한 사항
(변경후)
1. 부서 업무 기획 및 운영
2. 주요업무에 관한 사항
2. 교육비특별회계 출납원 업무
3. 공연장 대관업무 
4. 지방공무원 성과상여금, 근평, 포상 관련 업무
5. 관인 관수에 관한 사항
****16번) 총무부 두번째 주무관 사무분장 변경
(변경전)
1. 교육비특별회계 진행(법인카드)
2. 재난(중대재해관련사항 포함)
3. 소방안전관리에 관한 사항
4. 시설 행정 업무
(변경후)
1. 교육비특별회계 세입
2. 교육비특별회계 계약 및 집행
3. 교육비특별회계 결산
*****17번) 총무부 세번째 주무관 사무분장 변경
(변경전)
1. 문서 배부 및 기록물 관리
2. 물품 및 공유재산관리(공동숙소) 업무
3. 지방공무원(교육공무직) 급여 및 연말정산. 맞춤형복지
4. 사회복무요원 관리 및 급여 지출
5. 홍보업무
(변경후)
1. 문서 배부 및 기록물 관리
2. 물품 및 공유재산관리 업무
3. 급여 </t>
    </r>
    <r>
      <rPr>
        <sz val="14"/>
        <rFont val="Tahoma"/>
        <family val="3"/>
        <charset val="1"/>
      </rPr>
      <t>‧</t>
    </r>
    <r>
      <rPr>
        <sz val="14"/>
        <rFont val="돋움"/>
        <family val="3"/>
        <charset val="129"/>
      </rPr>
      <t xml:space="preserve"> 연말정산</t>
    </r>
    <r>
      <rPr>
        <sz val="14"/>
        <rFont val="Tahoma"/>
        <family val="3"/>
        <charset val="1"/>
      </rPr>
      <t>․</t>
    </r>
    <r>
      <rPr>
        <sz val="14"/>
        <rFont val="돋움"/>
        <family val="3"/>
        <charset val="129"/>
      </rPr>
      <t xml:space="preserve"> 맞춤형복지
4. 세입세출외현금 및 교육비특별회계집행(수당,일용임금)
5. 사회복무요원 관리
6. 홍보업무, 전시실관리, 대관업무지원
****18번)  총무부 네번째 주무관 사무분장 변경
(변경전)
1. 교육비특별회계 세입
2. 교육비특별회계 계약 및 집행
3. 교육비특별회계 결산
4. 전산시스템 관리 및 정보보안(개인정보보호 포함)
5. 홈페이지 관리에 관한 사항
(변경후)
1. 교육비특별회계 집행(법인카드), 서비스용역
2. 재난(중대재해관련사항 포함)
3. 소방안전관리에 관한 사항
4. 시설 행정업무(안전점검의날포함)
5. 전산시스템 관리 및 정보보안(개인정보보호 포함)
6. 홈페이지 관리에 관한 사항</t>
    </r>
    <phoneticPr fontId="15" type="noConversion"/>
  </si>
  <si>
    <t>아래 파일 "설맞이 청렴 실천 약속 서한문 게시" 
팝업게시 요청드립니다!</t>
    <phoneticPr fontId="15" type="noConversion"/>
  </si>
  <si>
    <t>안녕하세요
소모임실 이용안내 &lt; 이용안내 &lt; 도서관서비스 | 충청남도교육청서부평생교육원
다음 메뉴 페이지 수정 요청 드립니다
담당 문헌정보부 이영희 661-8333
---------------------------------------------------------
도서관서비스 &gt; 이용안내 &gt; 소모임실이용안내
- 이용신청
(변경 전) 대표자 현장 방문(3층 문헌정보부 사무실) 신청서 작성, 제출
(변경 후) 소모임실 사용 신청 폼 제출 후 담당자 확인 요청 (041-661-8333)
신청 바로가기 (새창 열기 링크 주소) https://forms.gle/GVQVjb7bjBdAX2dXA
- 이용방법
이용 후 소모임실을 정리하고 퇴실 10분 전 퇴실 점검표 폼 제출 후 사무실에 카드키 반납
퇴실 점검표 제출 바로가기 (새창 열기 링크 주소)  https://forms.gle/WKLMCPSzBT3thtQD6
- 유의사항
(변경 전)퇴실 전 반드시 실 정리를 해주시기 바랍니다. (쓰레기, 지우개 똥 등)
(3층 문헌정보부에 퇴실 10분 전 점검표 제출)
(변경 후)퇴실 전 반드시 실 정리를 해주시기 바랍니다. (쓰레기, 지우개가루 등)
(괄호 문장 삭제)
하단에 소모임실 신청 보호자 동의서(서식)  다운로드 버튼 형태로 서식 추가
(참고)
도서관서비스 &gt; 이용안내 &gt; 창작스튜디오(편집실)이용안내 메뉴
하단의 창작스튜디오 및 편집실 신청서 및 보호자동의서(양식)   다운로드 형태로 서식 추가</t>
    <phoneticPr fontId="15" type="noConversion"/>
  </si>
  <si>
    <t>도서 등록 오류</t>
    <phoneticPr fontId="15" type="noConversion"/>
  </si>
  <si>
    <t xml:space="preserve">안녕하세요.
원부번호 2025년 1번 (58권) 등록하였는데
아래의 도서가 삭제되었는지 검색되지 않아서
다시 등록하려 했더니 등록된 번호라고 뜹니다 ㅠ 
그런데 레이블출력시 청구기호 뽑으면 또 58권이 다 출력됩니다.(검색하면 57권만 나옴..)
JUM000067371 오싹오싹 과학 미스터리 2. 마법에 걸린 키메라
확인 부탁 드립니다.
 </t>
    <phoneticPr fontId="15" type="noConversion"/>
  </si>
  <si>
    <t>현재 정상적으로 확인됨. 25/01/16 09:15 전화 처리완료.</t>
    <phoneticPr fontId="15" type="noConversion"/>
  </si>
  <si>
    <t>최초배가일 오류로 인한 통계에 잡히지 않는 일부 도서 발생</t>
    <phoneticPr fontId="15" type="noConversion"/>
  </si>
  <si>
    <t xml:space="preserve">소장자료관리에서 확인하였을때 
저희 자료 중 약 1만건 정도가 배가일이 0002-01-01로 확인되었습니다. 
또한 일부(꽤 많은 수량)가 배가일리 1111-11-11로 되어 있습니다. 
위와 같은 문제로 통계- 단행통계-소장통계 로 통계를 집계하는데에 문제가 있습니다. 
오늘 0002-01-01로 되어 있는 배가일을 최초배가일변경으로 1999-01-01의 임의의 날짜로 변경하였습니다. 
그럼에도 소장통계에서 확인되는 전체 자료의 수와 
소장자료관리에서 확인되는 전체 자료의 수가 차이가 있어 문의 드립니다. 
혹시 1111-11-11로 되어 있는 자료도 모두 직접 최초배가일변경으로 변경해야 할까요?? 
그렇다면 몇년도부터 적용하여야 통계가 명확하게 집계되나요?? 
내일 오전에 꼭 연락부탁드려요~ </t>
    <phoneticPr fontId="15" type="noConversion"/>
  </si>
  <si>
    <t xml:space="preserve"> 전체 소장 통계를 확인 할때는 도서관 개관일로 배가일을 설정하고 확인하시면 정확하게 확인이 됩니다. 
그 전의 배가일은 따로 통계에서 확인이 되지 않지만 통계에서 확인이 원하신다면 배가일을 최초배가일 수정으로 도서관 개관 후 년도로 수정하시면 확인이 가능하십니다.
전화로 안내완료. 25/01/16 10:02.</t>
    <phoneticPr fontId="15" type="noConversion"/>
  </si>
  <si>
    <t>홈페이지 내용 수정요청</t>
    <phoneticPr fontId="15" type="noConversion"/>
  </si>
  <si>
    <t>안녕하세요
충천남도교육청평생교육원/자료검색/전집대출서비스
수정 요청 드립니다
담당 문헌정보부 김혜연(629-2080)
이용안내(부분변경)
운영기간: 2025년 2월 ~ 12월
운영전집: 사회과학, 자연과학, 문학, 역사 등 52질, 2,300여권
이용방법:
대출하기
방문대출기간에 어린이자료실 대출데스크 대출 (희망시 책수레(15대 선착순) 대여) 삭제
운영일정
구분
신청 기간
(매월 마지막 주 화요일~금요일)
방문 대출 기간
(대출 기간은 6일)
반납일
2월
1. 21.(화) ~ 24.(금) 10시~선착순
2. 1.(토) ~ 2. 8.(토)
2. 28(금)
3월
2. 25.(화) ~ 28.(금) 10시~선착순
3. 4.(화) ~ 3. 11.(토)
3. 31(월)
4월
3. 25.(화) ~ 28.(금) 10시~선착순
4. 1.(화) ~ 4. 8.(화)
4. 30.(수)
5월
4. 22.(화) ~ 25.(금) 10시~선착순
5. 1.(목) ~ 5. 8.(목)
5. 31.(토)
6월
5. 27(화) ~ 29.(금) 10시~선착순
6. 2.(월) ~ 6. 9.(월)
6. 30.(월)
7월
6. 24.(화) ~ 26.(금) 10시~선착순
7. 1.(월) ~ 7. 7.(월)
7. 31.(목)
8월
7. 22.(화) ~ 25.(금) 10시~선착순
8. 1.(금) ~ 8. 8.(금)
8. 30.(토)
9월
8. 26.(화) ~ 29.(금) 10시~선착순
9. 1.(월) ~ 9. 8.(월)
9. 30.(화)
10월
9. 23.(화) ~ 26.(금) 10시~선착순
10. 1.(수) ~ 10. 15.(수)
10. 31.(금)
11월
10. 28.(화) ~ 31.(금) 10시~선착순
11. 1.(토) ~ 11. 8.(토)
11. 29.(토)
12월
11. 25.(화) ~ 28.(금) 10시~선착순
12. 1.(월) ~ 12. 8.(월)
12. 31.(수)
전집목록(엑셀파일첨부)</t>
    <phoneticPr fontId="15" type="noConversion"/>
  </si>
  <si>
    <t>안녕하세요.
시설현황 지하1층~지상 4층으로 돼 있는데
반대로 다시 수정 부탁드립니다.
지상 4층
지상 3층
지상 2층
지상 1층
지하 1층 이렇게요. 감사합니다 .</t>
    <phoneticPr fontId="15" type="noConversion"/>
  </si>
  <si>
    <t>누리집 내용 수정 요청</t>
    <phoneticPr fontId="15" type="noConversion"/>
  </si>
  <si>
    <t>독서문화&gt; 독서교육프로그램 메뉴이름 변경
흥미진진유쾌한 도서관 나들이 &gt; 도서관 견학 프로그램 「독서 씨앗, 도서관 이용 교육」
운영기간
상반기: 2025. 3. 11. ~ 6. 26. 매주 화·수·목 10:30~11:30 (47회)
하반기: 2025. 9. 2. ~ 10. 29. 매주 화·수·목 10:30~11:30 (23회)
자유견학: 7, 8, 11, 12월
운영대상: 유치원, 어린이집, 3~7세 30명 내외
모집기간: 2025. 2. 3.(월) ~ 2. 7.(금) 17:00
모집방법: [붙임]신청서 작성하여 담당자 업무메일 접수
-담당자 업무메일: green7723@korea.kr
-희망 견학일자가 타 기관과 중복될 경우 담당자와 별도 협의를 거쳐 조정
운영내용
별도 첨부파일 참고 부탁드립니다.(표)
신청서 변경
별도 첨부한 파일로 변경 부탁드립니다.</t>
    <phoneticPr fontId="15" type="noConversion"/>
  </si>
  <si>
    <t>팝업존 및 팝업 게시 요청</t>
    <phoneticPr fontId="15" type="noConversion"/>
  </si>
  <si>
    <t>팝업존 및 팝업 게시 요청 드립니다.
팝업이미지 : 첨부
팝업 제목 : 2025년 서부평생교육원 이용자 자원봉사 동아리 (자음모음 봉사단) 회원 모집
팝업링크: https://csbl.cne.go.kr/cop/bbs/selectBoardArticle.do?nttNo=521447&amp;pageIndex=1&amp;menuId=MNU_0000000000000629&amp;bbsId=BBSMSTR_000000000075
관련문의:041-661-8361</t>
    <phoneticPr fontId="15" type="noConversion"/>
  </si>
  <si>
    <t>누리집게시판과 내용 수정 요청</t>
    <phoneticPr fontId="15" type="noConversion"/>
  </si>
  <si>
    <t>안녕하세요, 평생교육원 문헌정보부입니다.
1.
누리집-독서문화-학교지원프로그램-교과연계도서관활용수업에서
운영 기간을 2025. 4 ~ 11. 로 수정해주시고
운영 내용에서 2번 삼국과 가야의 문화유산 이야기 부분만 삭제해주세요.
2.
똑똑 열두달책다락방 게시판을 삭제하려고 합니다.
나중에 요청하면 게시판 또는 그 데이터를 복구할 수 있도록 해주실 수 있는 지 문의드리고
복구가 가능하면 바로 게시판 삭제 부탁드립니다.
3.
독서동아리 게시판에서 글쓰기프로젝트 게시판만 삭제를 해주세요.(복구 안해도 됨)
4.
독서문화행사 게시판에서 문화행사에 들어가시면
꿈꾸는 동화나라 어린이 그림책 공연 부분이 있는데 이것도 열두달책다락방 게시판처럼
게시판 또는 데이터 추후 복구 가능한지 여부와 가능하다면 바로 게시판 삭제 부탁드립니다.
(책과 감성 더하기 도서관 야외 공연은 삭제 부분이 아니니 참고 바랍니다.)</t>
    <phoneticPr fontId="15" type="noConversion"/>
  </si>
  <si>
    <t>독서문화&gt;학교지원프로그램&gt;학교독서교육지원단 메뉴의 내용 수정 및 신규 내용 삽입 부탁드립니다.
변경사항 체크하여 첨부합니다.
&lt;내용 변경 사항&gt;
(내용 수정)
- 찾아가는 어린이 독서교실 운영
 · 운영대상: 천안시 소재 초등학교 전학년(학급별 5회)
 · 운영내용: 그림책을 읽어주고 생각을 나누는 다양한 독후 활동
 · 운영기간
  &gt; 상반기: 2025. 4. ~ 6.
  &gt; 하반기: 2025. 9. ~ 11.
(신규 내용 삽입)
- 늘봄학교 찾아가는 어린이 독서교실 운영
 · 운영대상: 천안시 소재 초등학교 늘봄학급(학급별 12회)
 · 운영내용: 그림책을 읽어주고 생각을 나누는 다양한 독후 활동
 · 운영기간
  &gt; 상반기: 2025. 4. ~ 7.
  &gt; 하반기: 2025. 9. ~ 12.</t>
    <phoneticPr fontId="15" type="noConversion"/>
  </si>
  <si>
    <t>상호대차 횟수 오류</t>
    <phoneticPr fontId="15" type="noConversion"/>
  </si>
  <si>
    <t xml:space="preserve">안녕하세요.
아래 이용자 3분께서 상호대차 신청을 하려고 하시는데
횟수 초과라고 뜬다고 합니다.
14400520015255 구본철
14400520000454 주은아
14400521001913 구윤정
주은아 님은 얼마전에도 이런 문의가 있으셨는데
일시적으로 됐다가 안됐다가 하는 것 같아요.
확인부탁드립니다. </t>
    <phoneticPr fontId="15" type="noConversion"/>
  </si>
  <si>
    <t>KLAS 패치 후 새로운 기능이 추가되면서 상호대차 신청 후 상호대차 도서를 대출중인 상태일때 추가적으로 상호대차신청이 되지않게 설정이 되어있었던걸로 확인됩니다.
25/01/20 18:00 이후 설정을 원래대로 하면서 재시작할 예정입니다. 
재시작후에는 상호대차 도서를 대출중이여도 상호대차가 신청이 됩니다.
설정이 바뀐 후에도 상호대차 횟수 초과라고 안내가 나온다면 회신부탁드립니다.</t>
    <phoneticPr fontId="15" type="noConversion"/>
  </si>
  <si>
    <t>이용자 직급 변경 요청</t>
    <phoneticPr fontId="15" type="noConversion"/>
  </si>
  <si>
    <t>전체 이용자의 유아 초,중,고등학생 직급 중 나이와 안맞는 이용자들의 직급을 새로운 년도에 맞게 수정해주셨으면 합니다.!
해가 넘어갈때 자동으로 변경이 된다던가 하면 더 좋을것 같습니다</t>
    <phoneticPr fontId="15" type="noConversion"/>
  </si>
  <si>
    <t xml:space="preserve">직급 일괄 변경을 위해서는 기관에서 기준을 정리해서 전달해주셔야합니다. 
  대상연령(생년월일 ****.01.01~12.31) / 현재 직급 코드 / 변경 직급 코드
  ex) 유아 &gt; 초등 (기준 생년월일)
      초등 &gt; 중등 (기준 생년월일) 
  ※해가 넘어갈때 자동으로 변경이 된다던가 하면 더 좋을것 같습니다
    ==&gt;직급을 연령기준으로 부여하지 않고 다른 기준의 직급을 사용하거나 
        특정 연령 직급이라고 하더라도 행사직급을 부여해서 사용하기도 하는 도서관들도있어서
        해가 바뀌면 연령직급으로 자동 변경되게 하는건 어렵습니다. </t>
    <phoneticPr fontId="15" type="noConversion"/>
  </si>
  <si>
    <t>자료실 이동</t>
    <phoneticPr fontId="15" type="noConversion"/>
  </si>
  <si>
    <t>자료실을 새로 만들어 옮겼는데 사서용 데스크에서는 대출반납이 원활하게 진행이되지만 장비에서는 대출반납이 되지 않는 상태</t>
    <phoneticPr fontId="15" type="noConversion"/>
  </si>
  <si>
    <t>KLAS 에서 오류가 아닌 장비쪽오류 해결완료</t>
    <phoneticPr fontId="15" type="noConversion"/>
  </si>
  <si>
    <t>컴퓨터 교체  작업 진행 예정</t>
    <phoneticPr fontId="15" type="noConversion"/>
  </si>
  <si>
    <t>25/01/22 방문하여 해드릴예정 장비 나이콤으로 과장님과 동행예정</t>
    <phoneticPr fontId="15" type="noConversion"/>
  </si>
  <si>
    <t>안녕하세요
첨부한 이미지의 빨간 동그라미 친 부분을 '지역사회연계 책배달 서비스'로 고쳐주시고
아래 세부 설명의 줄바꿈도 수정 부탁드립니다.</t>
    <phoneticPr fontId="15" type="noConversion"/>
  </si>
  <si>
    <t>홈페이지 내용 수정 요청</t>
    <phoneticPr fontId="15" type="noConversion"/>
  </si>
  <si>
    <t>안녕하세요
충천남도교육청평생교육원/자료검색/전집대출서비스/전집목록
수정 요청 드립니다
파일첨부드립니다.</t>
    <phoneticPr fontId="15" type="noConversion"/>
  </si>
  <si>
    <t>게시판 설정</t>
    <phoneticPr fontId="15" type="noConversion"/>
  </si>
  <si>
    <t>안녕하세요 
평생학습서비스 &gt; 관련서식제출 게시판 글쓰기 설정에 항시 비공개로 설정 부탁드립니다~!
감사합니다</t>
    <phoneticPr fontId="15" type="noConversion"/>
  </si>
  <si>
    <t>상호대차 제한 신청</t>
    <phoneticPr fontId="15" type="noConversion"/>
  </si>
  <si>
    <t>보령도서관 상호대차 제한 신청을 붙임과 같이 신청합니다.</t>
    <phoneticPr fontId="15" type="noConversion"/>
  </si>
  <si>
    <t>상호대차 정지 신청</t>
    <phoneticPr fontId="15" type="noConversion"/>
  </si>
  <si>
    <t>붙임 참고부탁드립니다.
041-335-2628</t>
    <phoneticPr fontId="15" type="noConversion"/>
  </si>
  <si>
    <t>상호대차 중지 신청</t>
    <phoneticPr fontId="15" type="noConversion"/>
  </si>
  <si>
    <t>상호대차 중지를 붙임과 같이 신청합니다.</t>
    <phoneticPr fontId="15" type="noConversion"/>
  </si>
  <si>
    <t xml:space="preserve">상호대차 중지를 붙임과 같이 신청합니다.
ㅇ 중지기간: 2025. 1. 18.(토)  ~ 1.31.(금) </t>
    <phoneticPr fontId="15" type="noConversion"/>
  </si>
  <si>
    <t xml:space="preserve">상호대차 중지를 붙임과 같이 신청합니다. </t>
    <phoneticPr fontId="15" type="noConversion"/>
  </si>
  <si>
    <t>K-LAS 로그인 오류</t>
    <phoneticPr fontId="15" type="noConversion"/>
  </si>
  <si>
    <t xml:space="preserve"> [본청] K-LAS 로그인 오류 
 아이디: 충남시스템관리자 
 아이디: 통합도서관 
 2개의 아이디 모두 
 비번 아무리 맞게 쳐도....계속 로그인 불가입니다.... 비번이 틀리대요
 문제 해결 부탁드립니다. 
 041-640-6753 </t>
    <phoneticPr fontId="15" type="noConversion"/>
  </si>
  <si>
    <t xml:space="preserve"> 전화처리완료 25/01/20 09:24.</t>
    <phoneticPr fontId="15" type="noConversion"/>
  </si>
  <si>
    <t xml:space="preserve"> 안녕하세요 아산도서관입니다. 팝업게시 부탁드립니다.
 팝업제목: 2025학년도 중학 학력인정 성인문해교육 학습자 모집
 게시기간: 2025.1.17.~2. 21.
 팝업클릭 시 공지사항 글 337번 글과 연결되게 부탁드립니다.
 https://aslib.cne.go.kr/cop/bbs/selectBoardArticle.do?nttNo=522072&amp;pageIndex=1&amp;menuId=MNU_0000000000000379&amp;bbsId=BBSMSTR_000000000009
 감사합니다.</t>
    <phoneticPr fontId="15" type="noConversion"/>
  </si>
  <si>
    <t>안녕하세요
홈페이지 수정 요청 드립니다.
도서관서비스 &gt; 이용안내 &gt; 소모임실이용안내
https://csbl.cne.go.kr/msi/cntntsService.do?menuId=MNU_0000000000001820
하단 
소모임실 신청 보호자 동의서(서식))
서식 닫는 괄호가 중복으로 들어갔습니다
소모임실 신청 보호자 동의서(서식)
로 수정 요청 드립니다 감사합니다.</t>
    <phoneticPr fontId="15" type="noConversion"/>
  </si>
  <si>
    <t>알립니다 팝업 생성 요청</t>
    <phoneticPr fontId="15" type="noConversion"/>
  </si>
  <si>
    <t>안녕하세요 부여도서관 담당자입니다
아래 내용으로 팝업 생성 부탁드립니다
○ 휴관기간: 2025. 1. 26.(일) ~ 1. 30.(목)
※ 1. 27.(월) 임시공휴일 
○ 반납도서는 정문 외부 반납함에 투입해 주세요.
(반납일은 30일 이후로 자동 연장됩니다.)</t>
    <phoneticPr fontId="15" type="noConversion"/>
  </si>
  <si>
    <t>안녕허세요 부여도서관 담당자입니다. 아래 내용으로 팝업 생성 부탁드립니다.
설 명절 기간 택배 발송의 혼잡으로 상호대차 신청이 중지됩니다.
이용자분들의 양해 부탁드립니다. 
ㅇ 기간: 2025. 1. 18.(토)  ~ 1.31.(금) 
문의: 041-835-2509</t>
    <phoneticPr fontId="15" type="noConversion"/>
  </si>
  <si>
    <t>홈페이지 게시판 수정 요청</t>
    <phoneticPr fontId="15" type="noConversion"/>
  </si>
  <si>
    <t xml:space="preserve">[삭제요청]
독서문화-이달의 도서추천-이달의 도서추천 독서참여 
[생성요청]
독서문화-독서문화행사-나는야 독서왕 탭을 하나 생성해 주세요 
내용: 2월~12월까지 매월 독서왕을 선발하여 이용자들로 하여금 독서 목표를 설정하고 적극적인 독서 참여를 유도합니다. </t>
    <phoneticPr fontId="15" type="noConversion"/>
  </si>
  <si>
    <t>알립니다 팝업 제목 수정 요청</t>
    <phoneticPr fontId="15" type="noConversion"/>
  </si>
  <si>
    <t>1. 상호대차 신청 중지 안내문
-&gt;설 연휴 기간 상호대차 신청 중지 안내(1.18.~1.31.)
2. 휴관안내-&gt;
설 연휴 기간 상호대차 신청 중지 안내(1.18.~1.31.)
이렇게 수정 부탁드립니다</t>
    <phoneticPr fontId="15" type="noConversion"/>
  </si>
  <si>
    <t>누리집 게시판 수정 요청</t>
    <phoneticPr fontId="15" type="noConversion"/>
  </si>
  <si>
    <t>안녕하세요, 평생교육원 문헌정보부입니다.
독서문화-똑똑열두달책다락방 게시판 데이터 보존 후 삭제 부탁드립니다.</t>
    <phoneticPr fontId="15" type="noConversion"/>
  </si>
  <si>
    <t>이상 없었으나 기능에대한 문의 연체관리에서 이용자에게 옛날 코라스 시절에는 편지 보내는 기능이 있었는데 혹시 다른 방법이 없느냐에 연체관리에 들어가면 연체독촉장출력이 있습니다 옛날 기능과는 조금 다르지만 비슷하다는 답변드림 주소 레이블 출력 두가지 다 진행하여 연체자에게 독촉장을 보낼수있다는 답변드림</t>
    <phoneticPr fontId="15" type="noConversion"/>
  </si>
  <si>
    <t>만기일 지정</t>
    <phoneticPr fontId="15" type="noConversion"/>
  </si>
  <si>
    <t>분실도서가 있어 만기일 지정이 따로 되지 않아 다시 재등록 후 만기일 지정시 방법</t>
    <phoneticPr fontId="15" type="noConversion"/>
  </si>
  <si>
    <t>예약자료 관리에서 만기일 부여대상자료에서 수동지정하여 부여 부탁드렸습니다.</t>
    <phoneticPr fontId="15" type="noConversion"/>
  </si>
  <si>
    <t>상호대차 중지 요청</t>
    <phoneticPr fontId="15" type="noConversion"/>
  </si>
  <si>
    <t>안녕하세요, 공주도서관입니다.
설 연휴기간 동안 상호대차 중지를 요청합니다.
○ 중지기간: 1. 20.(월) 오후 ~ 1. 31.(금) 오전</t>
    <phoneticPr fontId="15" type="noConversion"/>
  </si>
  <si>
    <t>안녕하세요, 서천도서관입니다.
대출자번호: 14400620002557
아이디:naarock
이름: 최지은
대출자료: EMQ000110473
도서관 서가 정리 중으로 자료가 보이지 않아 취소 요청드렸습니다.
복구 요청드립니다.</t>
    <phoneticPr fontId="15" type="noConversion"/>
  </si>
  <si>
    <t xml:space="preserve"> 상호대차 횟수 복구 처리되었습니다.</t>
    <phoneticPr fontId="15" type="noConversion"/>
  </si>
  <si>
    <t>상호대차 정지 요청</t>
    <phoneticPr fontId="15" type="noConversion"/>
  </si>
  <si>
    <t>25/01/21  09:00  ~ 25/01/31  09:00 상호대차 정지 요청</t>
    <phoneticPr fontId="15" type="noConversion"/>
  </si>
  <si>
    <t>25/01/20  09:00 ~ 25/01/31  09:00 상호대차 정지 요청</t>
    <phoneticPr fontId="15" type="noConversion"/>
  </si>
  <si>
    <t>모바일/전자도서관</t>
    <phoneticPr fontId="15" type="noConversion"/>
  </si>
  <si>
    <t>전자도서관 EBS 콘텐츠 문의</t>
    <phoneticPr fontId="15" type="noConversion"/>
  </si>
  <si>
    <t>안녕하세요. 금산도서관입니다.
전자도서관에서 서비스 중인 EBS 콘텐츠 중에서 '한글이 야호' 영상이 안나옵니다.
'전자도서관 -&gt; 온라인콘텐츠 -&gt; EBS' 에서
'기초학습 -&gt; 한글이 야호' 영상들이 다 안나옵니다.
영상을 클릭하면, "관리자에 의하 차단된 접근 경로입니다." 라는 문구가 뜹니다.
EBS 웹페이지 하단 기술문의: 044-715-7915에 문의를 해보았더니, 라이선스 끝났다고 합니다.
확인 부탁드립니다.
감사합니다.</t>
    <phoneticPr fontId="15" type="noConversion"/>
  </si>
  <si>
    <t>처리 완료 되었습니다.</t>
    <phoneticPr fontId="15" type="noConversion"/>
  </si>
  <si>
    <t>두배로 대출</t>
    <phoneticPr fontId="15" type="noConversion"/>
  </si>
  <si>
    <t>2월 부터 매주 금요일 마다 두배로 대출 요청                                          보령도서관 매주 금요일 두배로 대출 요청드립니다. 
- 시작일: 2025. 2. 7.(금) 
- 종료일: 2025.12.26.(금) 
- 요청내용: 매주 금요일 보령도서관 이용자 대출권수 40권으로 변경</t>
    <phoneticPr fontId="15" type="noConversion"/>
  </si>
  <si>
    <t>정기점검방문 때 요청 주셨던 내용이라 미리 채움에서 된다는 답변을 받았습니다. 추후 선생님께서 날짜 요청 하시면 그때 진행하기로 하셨던 내용이라 채움에 내용 전달드림</t>
    <phoneticPr fontId="15" type="noConversion"/>
  </si>
  <si>
    <t>웹부킹</t>
    <phoneticPr fontId="15" type="noConversion"/>
  </si>
  <si>
    <t xml:space="preserve">프린트 프로그램 재설치로 인하여 프로그램 재설치를 하였는데 프로그램이 계속 삭제가 된다는게 웹부킹 문제로 확인 되므로 해제 요청 </t>
    <phoneticPr fontId="15" type="noConversion"/>
  </si>
  <si>
    <t>웹부킹은 따로 프로그램을 막거나 삭제하지않음 하드보안이 걸려있어서 삭제가 되는걸로 확인되나 유지보수업체 쪽에서는 웹부킹문제로 지속적으로 말할시 초기화 후 재설치 도와드리기로함 (백인솔선생님과 전화)</t>
    <phoneticPr fontId="15" type="noConversion"/>
  </si>
  <si>
    <t>알립니다 겨울방학 특강 팝업 삭제 요청</t>
    <phoneticPr fontId="15" type="noConversion"/>
  </si>
  <si>
    <t>알립니다. 겨울방학 특강 홍보 팝업은 기한 종료로 삭제 요청합니다.</t>
    <phoneticPr fontId="15" type="noConversion"/>
  </si>
  <si>
    <t>홈페이지 메인메뉴 이름&amp;페이지 중 성명 변경</t>
    <phoneticPr fontId="15" type="noConversion"/>
  </si>
  <si>
    <t>안녕하세요. 
학생교육문화원 총무부입니다.
홈페이지 메뉴이름 변경요청드립니다.
홈페이지 처음 들어가면 
메인메뉴가
(변경전) 기관소개 - 예술교육관 - 도서관 - 자료검색 - 자료검색 - 공연장대관 이렇게 되어있는데..
(변경후) 기관소개 - 예술교육관 - 문헌정보관 - 자료검색 - 자료검색 - 공연장대관
이렇게 "도서관"을 "문헌정보관"으로 변경부탁드립니다!
감사합니다
-&gt; 변경할 곳은 첨부파일에 표시에 놓았습니다~!홈페이지에 성명 변경 요청드립니다.
공공데이터 공개 페이지에
이름 변경 요청드립니다.
총무부장 성명 장동묵 -&gt; 이정삼으로 변경 부탁드립니다.
감사합니다
-&gt; 변경할 곳은 첨부파일에 표시에 놓았습니다~!</t>
    <phoneticPr fontId="15" type="noConversion"/>
  </si>
  <si>
    <t>리브로피아</t>
    <phoneticPr fontId="15" type="noConversion"/>
  </si>
  <si>
    <t>안녕하세요.
충청남도태안교육지원청태안도서관 유재현 주무관입니다.
모바일 앱 '리브로피아' 내 도서관 정보 내용을 수정하고자 이렇게 메일을 보내드립니다.
자료현황 부분
※기준 2025.1.1.  → 내용 추가
도서: 89,628권 → 데이터 변경 
비도서: 3,408점 → 데이터 변경
&lt;&lt;자료대출안내&gt;&gt;
1) '일반 → 일반자료' 수정
2) 'DVD: 1인1회 2점 …'  DVD 부분 삭제
감사합니다.</t>
    <phoneticPr fontId="15" type="noConversion"/>
  </si>
  <si>
    <t>Kdevice설치</t>
    <phoneticPr fontId="15" type="noConversion"/>
  </si>
  <si>
    <t>컴퓨터 포멧 작업</t>
    <phoneticPr fontId="15" type="noConversion"/>
  </si>
  <si>
    <t>방문하여 Kdevice 및 Kdual 설치는 완료 되었지만 듀얼에서 자동로그인이 연결이 되지 않아 원격지원을 받았지만 해결되지 않음 그래서 25/01/23 재방문 통하여 프로그램 전체를 밀어버리고 새로 설치하는 작업을 진행 할 예정 선생님께 전달드림/250123 현장방문을 통하여 재설치 및 대출반납이 원활하게 이루어지는 확인함 처리완료</t>
    <phoneticPr fontId="15" type="noConversion"/>
  </si>
  <si>
    <t xml:space="preserve">성환도서관 상호대차 중지 신청합니다. 감사합니다. </t>
    <phoneticPr fontId="15" type="noConversion"/>
  </si>
  <si>
    <t>안녕하세요 남부평생교육원 입니다.
자료검색&gt; 희망도서신청&gt; 신청 시 유의사항
신청 시 유의 사항 부분 기존 내용 삭제 후 첨부파일과 같이 변경 요청드립니다.
감사합니다.</t>
    <phoneticPr fontId="15" type="noConversion"/>
  </si>
  <si>
    <t>KLAS</t>
    <phoneticPr fontId="15" type="noConversion"/>
  </si>
  <si>
    <t>개관시 KLAS 문제가 이상이 없는지 링캠과 연락 요망 / 인터넷 망 다운으로 KLAS 사용 문의</t>
    <phoneticPr fontId="15" type="noConversion"/>
  </si>
  <si>
    <t>개관전 미리 전화 한번 주시면 방문을 통해 확인 드림 또한 인터넷 망 다운으로 KLAS 문의는 이사님 방문</t>
    <phoneticPr fontId="15" type="noConversion"/>
  </si>
  <si>
    <t>상호대차 정지</t>
    <phoneticPr fontId="15" type="noConversion"/>
  </si>
  <si>
    <t>전화로 확인 후 상호대차 정지 요청 처리완료</t>
    <phoneticPr fontId="15" type="noConversion"/>
  </si>
  <si>
    <t>책이음 회원 대출 권수</t>
    <phoneticPr fontId="15" type="noConversion"/>
  </si>
  <si>
    <t>통합도서관에서 20권 대출이 가능한 회원이 당진도서관에서 14권 대출 후 통합도서관이 서부평생에서 13권 대출이 가능하심</t>
    <phoneticPr fontId="15" type="noConversion"/>
  </si>
  <si>
    <t xml:space="preserve">국중에서 정해놓은 대출 총 권수는 30권이라 책이음 이용자 이시면 총 합계인 30이 아닌 27권 대출을 하셨기때문에 대출이 가능함 </t>
    <phoneticPr fontId="15" type="noConversion"/>
  </si>
  <si>
    <t>인터넷 서버 다운</t>
    <phoneticPr fontId="15" type="noConversion"/>
  </si>
  <si>
    <t>인터넷 다운으로 KLAS사용 불가</t>
    <phoneticPr fontId="15" type="noConversion"/>
  </si>
  <si>
    <t>이사님이 현장 방문 하셨지만 2/3 개통이 있을예정이라 25/02/03에 방문을 하여 KLAS접속이 가능한지 확인 요청 (오후 4시~5시)방문 요청</t>
    <phoneticPr fontId="15" type="noConversion"/>
  </si>
  <si>
    <t>자료관리/ 전화문의</t>
    <phoneticPr fontId="15" type="noConversion"/>
  </si>
  <si>
    <t>서지정보 조회안됨</t>
    <phoneticPr fontId="15" type="noConversion"/>
  </si>
  <si>
    <t>회원번호 14400920002230 유노곤 회원이
2025-01-03 에 대출하여 2025-01-09 에 반납한 도서 4권
EMD000203210
EMD000203207
EMD000203209
EMD000203208
이 검색되지 않아서 확인할 수 없습니다
확인 부탁드립니다
관련문의 041-661-8361</t>
    <phoneticPr fontId="15" type="noConversion"/>
  </si>
  <si>
    <t xml:space="preserve"> 25/01/31  14:22  전화처리완료.
색인처리에 오류가 발생하여 보정처리 후 현재 정상적으로 도서가 확인되고 있습니다. / 색인처리가 제대로 되지않는 도서들이 더 있는지 확인중 / 메일처리완료</t>
    <phoneticPr fontId="15" type="noConversion"/>
  </si>
  <si>
    <t>안녕하세요. 서부평생교육원 홈페이지 내용을 아래와 같이 수정 요청드립니다.
기관안내-개인정보처리방침 탭의
제 4조 위탁기간 2024. 1. 1.~2024. 12. 31. -&gt; 2025. 1. 1.~2025. 12. 31.
제 9조 개인정보처리 책임자 및 담당자
서은금-&gt;정성택
이인준-&gt;윤화원
감사합니다.</t>
    <phoneticPr fontId="15" type="noConversion"/>
  </si>
  <si>
    <t>내용 수정 요청</t>
    <phoneticPr fontId="15" type="noConversion"/>
  </si>
  <si>
    <t>안녕하세요. 
독서문화-독서교육프로그램-2024하반기독서문화프로그램 시간표 내용 삭제부탁드립니다 .
감사합니다.</t>
    <phoneticPr fontId="15" type="noConversion"/>
  </si>
  <si>
    <t>남부평생교육원 팝업 요청드립니다.
기간: 1.31.~2.21.까지 요청드립니다.</t>
    <phoneticPr fontId="15" type="noConversion"/>
  </si>
  <si>
    <t>견학신청</t>
    <phoneticPr fontId="15" type="noConversion"/>
  </si>
  <si>
    <t>8월과 12월은 신청이 제외지만 신청이 가능하게 되어있다</t>
    <phoneticPr fontId="15" type="noConversion"/>
  </si>
  <si>
    <t>8월과12월은 홈페이지 관리자측에서 일단 임시로 신청하여 마감 처리 했음 12월 4일은 선생님이 마감 처리함 홈페이지관리자 쪽 이사로 인하여 ip를 충남교육청에서 풀어주셔야 수정이 가능하여 시간이 조금 걸림 선생님께 안내드림</t>
    <phoneticPr fontId="15" type="noConversion"/>
  </si>
  <si>
    <t>사용자계정</t>
    <phoneticPr fontId="15" type="noConversion"/>
  </si>
  <si>
    <t>사용자 계정 정지로 인하여 초기화 진행 요청 (황효순 선생님)</t>
    <phoneticPr fontId="15" type="noConversion"/>
  </si>
  <si>
    <t>확인 결과 처음 접수는 관리자 계정으로 요청하셨지만 사용자 계정으로 확인됨 보령관리자 계정을 통하여 비밀번호 초기화 및 권한 변경 방법 안내드림 사용자 계정은 따로 저희 쪽에서 할 수 없고 보령관리자를 통하여 해결 요청 전화 안내드림</t>
    <phoneticPr fontId="15" type="noConversion"/>
  </si>
  <si>
    <t>안녕하세요.
14417324044886 김순희
상기의 이용자분께서 상호대차 횟수 확인을 요청하십니다.
제가 확인하기로는 당진에서 2회, 아산에서 1회 총 3회 사용하신 걸로 보이는데 맞는지 확인 부탁 드려요.
이용자분께서 빠른 확인을 원하셔서 빠른 처리 부탁 드립니다.
감사합니다.</t>
    <phoneticPr fontId="15" type="noConversion"/>
  </si>
  <si>
    <t xml:space="preserve">25/02/03 14:34 전화 안내 완료
정확한 횟수확인은 불가능합니다. </t>
    <phoneticPr fontId="15" type="noConversion"/>
  </si>
  <si>
    <t>전화/메일문의</t>
    <phoneticPr fontId="15" type="noConversion"/>
  </si>
  <si>
    <t>홈페이지 접속 건수</t>
    <phoneticPr fontId="15" type="noConversion"/>
  </si>
  <si>
    <t>홈페이지 모바일웹과 PC접속 건수 통계 요청</t>
    <phoneticPr fontId="15" type="noConversion"/>
  </si>
  <si>
    <t>작년에도 홈페이지측에 문의 드렸다시피 똑같이 요청하였지만 지금 현재 홈페이지측에서 확인이 불가능하여 기다리는중/ 메일로 회신 완료</t>
    <phoneticPr fontId="15" type="noConversion"/>
  </si>
  <si>
    <t>홈페이지 일일도서관체험 수정 요청(추가)</t>
    <phoneticPr fontId="15" type="noConversion"/>
  </si>
  <si>
    <t>안녕하세요
독서문화 – 독서문화행사 – 일일도서관체험
1. 붙임파일 내용 변경
2. 25년 3~6월 매주 월, 화, 목 신청 버튼 활성화
3. 신청 시 연락처 밑에 비고를 생성하여 신청자가 작성할 수 있게 부탁드립니다.
감사합니다                                                                                          상반기 (3월~6월) 신청은 2월 7일 금요일
 하반기(9월~11월) 신청은 8월 8일 금요일 부터 신청할 수 있게 활성화 해주세요 
 감사합니다 ^^</t>
    <phoneticPr fontId="15" type="noConversion"/>
  </si>
  <si>
    <t>안녕하세요 주무관님
일일도서관체험의 상반기, 하반기 신청기간을 알려주시면 그에 맞춰 신청 버튼 활성화 하도록 하겠습니다.
답변 부탁드립니다. 감사합니다.</t>
    <phoneticPr fontId="15" type="noConversion"/>
  </si>
  <si>
    <t>누리집 내용 변경 요청 (긴급)</t>
    <phoneticPr fontId="15" type="noConversion"/>
  </si>
  <si>
    <t>평생교육원 누리집 내용을 다음과 같이 변경 요청합니다.
1. 기관안내-운영방향 에서 가운데 운영중점의 내용 중
삶의 변화와 미래를 준비하는 평생교육
꿈과 끼를 키우는 행복한 교육복지 실현
삶의 지평을 넓혀주는 도서관 운영
함께 성장하는 독서문화 확산
--&gt;
배움과 삶이 하나되는 평생교육
함께 누리는 행복한 교육복지 실현
미래를 준비하는 모두의 도서관
로 수정 요청합니다.
2. 기관안내-주요업무계획 내용을 붙임의 첨부파일로 교체하여 주시기 바랍니다.</t>
    <phoneticPr fontId="15" type="noConversion"/>
  </si>
  <si>
    <t>네이버,다음,구글에서 도서관으로 검색되도록</t>
    <phoneticPr fontId="15" type="noConversion"/>
  </si>
  <si>
    <t>우리 평생교육원 누리집이 네이버, 다음, 구글에서 '도서관', '충남평생교육원도서관', '평생교육원도서관'으로 입력하여도 검색되도록 해주시길 요청합니다..</t>
    <phoneticPr fontId="15" type="noConversion"/>
  </si>
  <si>
    <t>도서관', '충남평생교육원도서관', '평생교육원도서관' 코드등록은 해두었습니다.
다만, 포털사이트에서 검색엔진이 언제 등록을 해주고 몇 번째에 나오게 할지는 저희가 정할 수가 없고 대략 2주이상 걸립니다.
그리고 네이버랑 다음은 도서관쪽에서 네이버랑 카카오에 공문보내시면 좀 더 빨리 적용되시는걸로 알고 있습니다.</t>
    <phoneticPr fontId="15" type="noConversion"/>
  </si>
  <si>
    <t>안녕하세요.
학생교육문화원 총무부입니다.
3가지 수정사항 요청드립니다.
1번) 기관소개-&gt; 일반현황-&gt; 연혁에서
2025로 숫자만 변경
(변경전) History 2024's ~2010's
(변경후)  History 2025's ~2010's
2번) 기관소개-&gt; 일반현황-&gt; 기관표창내역에서
2025로 숫자를 변경
(변경전) 2006's ~2022's
(변경후)  2006's ~2025's
3번) 알립니다에서 
설맞이 청렴 실천 약속 서한문 게시 삭제</t>
    <phoneticPr fontId="15" type="noConversion"/>
  </si>
  <si>
    <t>독서종합시스템 회원</t>
    <phoneticPr fontId="15" type="noConversion"/>
  </si>
  <si>
    <t>독종회원을 일반회원으로 변경</t>
    <phoneticPr fontId="15" type="noConversion"/>
  </si>
  <si>
    <t>독종 회원은 인증값이 따로 있지 않기 때문에 회원탈퇴 진행 새로 가입후 탈퇴 요청 아니면 다른도서관에서 병합으로 처리하는 경우도 있다고 전달드림</t>
    <phoneticPr fontId="15" type="noConversion"/>
  </si>
  <si>
    <t>무인예약 / 일반예약</t>
    <phoneticPr fontId="15" type="noConversion"/>
  </si>
  <si>
    <t>예약이 되지않고 오류 안내 문구창이 뜸</t>
    <phoneticPr fontId="15" type="noConversion"/>
  </si>
  <si>
    <t>예약자료인원수 수정 후 API 재시작을 한번 해야되서 그런 현상이 이러난걸로 확인됨 재시작 후 정상적으로 확인됨</t>
    <phoneticPr fontId="15" type="noConversion"/>
  </si>
  <si>
    <t>홈페이지 신착도서</t>
    <phoneticPr fontId="15" type="noConversion"/>
  </si>
  <si>
    <t>홈페이지에 신착도서가 보이지 않음</t>
    <phoneticPr fontId="15" type="noConversion"/>
  </si>
  <si>
    <t>신착도서가 없기때문에 신착도서가 보이지 않은 것으로 확인됨 기간을 늘릴수있을지 확인중</t>
    <phoneticPr fontId="15" type="noConversion"/>
  </si>
  <si>
    <t>가입/승인/비회원 문의</t>
    <phoneticPr fontId="15" type="noConversion"/>
  </si>
  <si>
    <t xml:space="preserve"> 안녕하세요 아산도서관입니다.
 이용통계 작성 중 문의사항이 있어 몇가지 문의드립니다. 아래 첨부파일 참고부탁드립니다.
 1. 비회원 이란?
  비회원은 어떤상태의 회원인지 궁금합니다. 비회원의 의미
 2. 가입일자/승인일자로 이용자통계 시 정회원수 불일치
  통계기간을 2025/1/1~2025/1/5 로 두고 가입일자와 승인일자로 검색하였을 시 가입일자 정회원은 8명 / 승인일자로 통계 시 정회원 10명이 나옵니다.
  정회원은 관리자가 승인을 해줘야지 정회원으로 상태가 변경되는 걸로 알고 있습니다. 정회원 차이가 2명이 납니다. 2명 차이나는 이유를 명확히 알고 싶습니다.
 3. 정회원/ 비회원/ 준회원의 명확한 정의가 있어야 통계 시 혼동이 없을 것아요
 감사합니다.
문의: 041-541-1022</t>
    <phoneticPr fontId="15" type="noConversion"/>
  </si>
  <si>
    <t xml:space="preserve"> 1. 비회원은 대출자 번호가 없거나 홈페이지 회원가입을 하지 않은 회원입니다.
또한 옛날회원 중 장기연체이용자분들을 위해 KLAS 구축 당시 비회원으로 기록하여 선생님들이 전화를 할 수 있게 남겨놓은것으로 알고 있습니다.
 2. 가입일자와 승인일자 통계가 틀린이유는 24년12월31일에 가입을 하시고 25년1월1일에 승인을 해주시면 차이가 날 수 있습니다.
 3.준회원은 통합도서관 홈페이지에서 가입을하여 아이디를 가지고 계시는 회원입니다.
  정회원은 준회원(아이디를 가지고 계시는 회원) 을 대표직급과 대출자번호를 부여받아 대출증을 가지고 계시는 회원 입니다.
  비회원은 준회원이상이 아닌 회원 입니다.
( 통계에서 확인되는 비회원은 탈퇴한 회원입니다. 탈퇴회원 정보는 남아 있지않지만 통계는 잡혀 비회원으로 나타나는것으로 확인 됩니다.)</t>
    <phoneticPr fontId="15" type="noConversion"/>
  </si>
  <si>
    <t>홈페이지 오류</t>
    <phoneticPr fontId="15" type="noConversion"/>
  </si>
  <si>
    <t>독서문화 &gt; 그림책원화전시 탭을 2025년도 목록으로 수정했는데
오류사진과 같이 아무 목록이 뜨지 않습니다.
해결해주시면 감사하겠습니다</t>
    <phoneticPr fontId="15" type="noConversion"/>
  </si>
  <si>
    <t>홍보 동영상을 교체하고자 합니다.(긴급)</t>
    <phoneticPr fontId="15" type="noConversion"/>
  </si>
  <si>
    <t>기관안내-홍보동영상 메뉴의 영상을 첨부파일과 같이 수정 부탁드립니다.
도의회 전 교체가 필요하여 긴급하게 요청드립니다.</t>
    <phoneticPr fontId="15" type="noConversion"/>
  </si>
  <si>
    <t>안녕하세요 주무관님
영상 교체 완료했습니다.
추가로 웹접근성을 위한 자막을 제공해주시기 바랍니다.
답변 부탁드립니다. 감사합니다.</t>
    <phoneticPr fontId="15" type="noConversion"/>
  </si>
  <si>
    <t>학습동아리 현황</t>
    <phoneticPr fontId="15" type="noConversion"/>
  </si>
  <si>
    <t>학생교육문화원 누리집-문헌정보관-프로그램-학습동아리
2건 수정 요청합니다.(첨부 파일 파란색 부분)
- 학습동아리 현황 내용 수정
- 문의 전화 번호 수정
빠른 수정 부탁드립니다.</t>
    <phoneticPr fontId="15" type="noConversion"/>
  </si>
  <si>
    <t>SMS 발송 수정</t>
    <phoneticPr fontId="15" type="noConversion"/>
  </si>
  <si>
    <t>비치희망도서 소장중일때 도서제목이 함께 발송 되지않아 문의</t>
    <phoneticPr fontId="15" type="noConversion"/>
  </si>
  <si>
    <t>수정방법안내 문자수정에서 $$표시로 제목이 나가는것으로 수정안내드림</t>
    <phoneticPr fontId="15" type="noConversion"/>
  </si>
  <si>
    <t>홈페이지 메뉴 및 게시판 수정</t>
    <phoneticPr fontId="15" type="noConversion"/>
  </si>
  <si>
    <t>1. 기관안내&gt;연혁에서 " 2025. 1. 1. 제23대 배지현 원장 취임 " 추가
2. 기관안내&gt;영성정보처리기기운영및관리방침&gt; 3. 관리책임자 및 접근권한자&gt; 문헌정보동 접근권한자 연락처 041-730-7730에서 041-730-7725로 변경
3. 정보공개&gt;사전정보공개&gt; 정보공개담당관&gt;정보공개담당을 장아름에서 전진영으로 변경
4. 이용안내&gt;도서관협력서비스&gt;책바다 맨밑 문의 전화번호 041-730-7731에서 041-730-7733으로 변경
   이용안내&gt;도서관협력서비스&gt;책나래 맨밑 문의 전화번호 041-730-7731에서 041-730-7733으로 변경
감사합니다.</t>
    <phoneticPr fontId="15" type="noConversion"/>
  </si>
  <si>
    <t>매주 금요일 두배로 대출 실행이 되지않았지만 통합권수를 늘려 현장에서 40권 대출이 가능하도록 해줌 장비에서도 매주 금요일마다 40권 대출이 가능함 현장 처리완료</t>
    <phoneticPr fontId="15" type="noConversion"/>
  </si>
  <si>
    <t>안녕하세요. 누리집 팝업 게시 요청드립니다.
제목: 2025년 상반기 평생교육 프로그램 제안 모집 선정 결과
게시기한: 2025.2.12.(수)까지</t>
    <phoneticPr fontId="15" type="noConversion"/>
  </si>
  <si>
    <t>안녕하세요.
학생교육문화원 총무부입니다.
1번) 알립니다 팝업에 문헌정보관 휴관 연장 안내 &lt;- 삭제
2번) 홈페이지 팝업존에 문헌정보관 휴관 연장 안내 &lt;- 삭제
감사합니다.</t>
    <phoneticPr fontId="15" type="noConversion"/>
  </si>
  <si>
    <t>예약도서 만기일 부여</t>
    <phoneticPr fontId="15" type="noConversion"/>
  </si>
  <si>
    <t>첫번째 이용자가 만기일 전 취소를 하여 두번째 이용자에게 자동 부여가 되지않아 두번째 이용자 부여 방법</t>
    <phoneticPr fontId="15" type="noConversion"/>
  </si>
  <si>
    <t>예약자료관리에 만기일 부여대상 자료에서 수동 부여 해주셔야됨 전화로 설명드림 그리고 정확한 상황은 원콜에 올려주시면 정확하게 알아보고 난 후 답변드리기로 함</t>
    <phoneticPr fontId="15" type="noConversion"/>
  </si>
  <si>
    <t>예약 도서 예약만기일 자동 부여 문의</t>
    <phoneticPr fontId="15" type="noConversion"/>
  </si>
  <si>
    <t xml:space="preserve">한 도서에 예약자가 복수일 경우 
첫번째 예약자가 예약만기일 이전 이용자 취소할 경우
두번째 예약자에게 예약만기일이 자동으로 부여되지 않아 예약도서 운영이 어려움. 
이 부분 확인 바랍니다. </t>
    <phoneticPr fontId="15" type="noConversion"/>
  </si>
  <si>
    <t xml:space="preserve"> 예약자료관리&gt;검색조건: 예약만기일 부여대상자료&gt;예약대기 중인 도서목록 확인 가능합니다.
분실이나 정비 등의 이유로 자동부여가 되지 않기 때문에 해당 메뉴에서 주기적으로 확인해주시면 됩니다.</t>
    <phoneticPr fontId="15" type="noConversion"/>
  </si>
  <si>
    <t>마크 반입시 등록번호 중복</t>
    <phoneticPr fontId="15" type="noConversion"/>
  </si>
  <si>
    <t>안녕하세요. 금산도서관입니다.
등록번호가 입력되지 않은 마크 파일을 반입하려고합니다.
마크파일 반입에서 파일을 선택하고 해당 마크를 반입할때
등록번호 부여 옵션선택에서 "등록번호 자동 부여"를 선택하고 반입을 하려고 하면
등록번호 중복이라고 나오면서 오류가 납니다.
현재 도서관에서 EMN164265번까지 등록번호가 입력 되어 있는데,
등록번호 중복[EMN000163952]라고 에러 내용이 나옵니다.
확인 부탁드립니다.</t>
    <phoneticPr fontId="15" type="noConversion"/>
  </si>
  <si>
    <t xml:space="preserve"> 전화처리 완료. 25/02/11
 케이라스 맨 우측 환경설정(톱니바퀴) - 공통 - 마지막번호관리(공통, 등록번호)에서
등록구분 EMN의 마지막번호를 164265로 수정해보시길 바랍니다.</t>
    <phoneticPr fontId="15" type="noConversion"/>
  </si>
  <si>
    <t>장서점검 데이터 추출 요청</t>
    <phoneticPr fontId="15" type="noConversion"/>
  </si>
  <si>
    <t>안녕하세요, 홍성도서관입니다.
2월 11일(화)~2월 14일(금) 홍성도서관 전체 자료실 장서점검 예정입니다.
장서점검을 위해 도서UID를 포함한 모든 장서정보를 출력받고 싶습니다.
파일형식은 엑셀이고,
반드시 포함되어야 할 데이터 주요 정보는 UID,등록번호,서명,저자명,발행자,발행년,청구기호,자료실,자료실 코드,자료상태,이용제한코드,자료구분 등 모든 정보입니다.
해당 장서데이터를 오늘부터 2월 13일(목) 사이에 가능한 한 빠른 시일 내에 받고 싶습니다.
장서데이터는 메일로 부탁드립니다.
감사합니다.
이메일: hs-lib@cne.go.kr</t>
    <phoneticPr fontId="15" type="noConversion"/>
  </si>
  <si>
    <t xml:space="preserve"> 메일회신드렸습니다.</t>
    <phoneticPr fontId="15" type="noConversion"/>
  </si>
  <si>
    <t>장서점검 기간 중 상호대차 반납 기한 연장 방법 문의</t>
    <phoneticPr fontId="15" type="noConversion"/>
  </si>
  <si>
    <t>안녕하세요, 홍성도서관입니다.
다름아니라, 저희 홍성도서관이 2.11.~2.14. 장서점검으로 자료실을 휴실하는데,
현재 상호대차 도서 중 해당 기간동안 도서를 반납해야하는 분이 계십니다(현재 1회 연기 사용).
저희 도서관의 사정으로 1회 반납 연기된 상호대차 도서의 반납 예정일을 연장하려면 어떻게 해야 합니까?</t>
    <phoneticPr fontId="15" type="noConversion"/>
  </si>
  <si>
    <t xml:space="preserve"> 전화 처리완료. 14:39 
제공도서관에 요청바랍니다.</t>
    <phoneticPr fontId="15" type="noConversion"/>
  </si>
  <si>
    <t>서버 현황 문의</t>
    <phoneticPr fontId="15" type="noConversion"/>
  </si>
  <si>
    <t>안녕하세요. 금산도서관입니다.
보안관제 종합시스템 고도화 사업과 관련하여,
저희 도서관에서 운영하는 서버 현황을 작성해서 제출해야하는데
IP주소/서버 위치/용도/OS/WEB/WAS/DB 등을 입력해야 합니다
도서관에 해당 중인 것이 있는지 문의 드립니다.
첨부 파일 확인 부탁드립니다.</t>
    <phoneticPr fontId="15" type="noConversion"/>
  </si>
  <si>
    <t>금산도서관에서 운영하는 서버는 없습니다.</t>
    <phoneticPr fontId="15" type="noConversion"/>
  </si>
  <si>
    <t>자료검색대 와 회원가입 PC 본체 교체 작업</t>
    <phoneticPr fontId="15" type="noConversion"/>
  </si>
  <si>
    <t>PC 본체 교체 작업으로 자료검색대와 회원가입 PC 설치 요청</t>
    <phoneticPr fontId="15" type="noConversion"/>
  </si>
  <si>
    <t>현장 방문을 통하여 회원가입 바로 가기와 자료검색대 설치를 도와드렸지만 프린트 드라이버 설치 이슈 로 재방문 요청</t>
    <phoneticPr fontId="15" type="noConversion"/>
  </si>
  <si>
    <t>장서점검으로 인하여 14일 까지 상호대차 정지 요청</t>
    <phoneticPr fontId="15" type="noConversion"/>
  </si>
  <si>
    <t>홈페이지 수정 요청 취학 전 1,000권 읽기</t>
    <phoneticPr fontId="15" type="noConversion"/>
  </si>
  <si>
    <t>안녕하세요.
독서문화-독서문화행사- 취학 전 1,000권 읽기 
붙임파일과 같이 변경 요청 드립니다. 
감사합니다.</t>
    <phoneticPr fontId="15" type="noConversion"/>
  </si>
  <si>
    <t xml:space="preserve">홈페이지 수정 요청 </t>
    <phoneticPr fontId="15" type="noConversion"/>
  </si>
  <si>
    <t>안녕하세요 학생교육문화원 문헌정보부입니다.
도서관 이용안내 - 소장자료 현황의 도서, 비도서, 정기간행물을
붙임의 파일 숫자로 수정 요청합니다.
감사합니다. 문의사항 041-904-6835</t>
    <phoneticPr fontId="15" type="noConversion"/>
  </si>
  <si>
    <t>팝업 게시 수정 요청</t>
    <phoneticPr fontId="15" type="noConversion"/>
  </si>
  <si>
    <t>안녕하세요, 평생교육원 문헌정보부입니다.
누리집 팝업과 팝업존에 있는 지역주민 독서동아리 모집 게시 삭제 부탁드립니다.
감사합니다.</t>
    <phoneticPr fontId="15" type="noConversion"/>
  </si>
  <si>
    <t>프로그램안내-학습동아리에서
두 번째 명심보감 함께읽기는 줄 전체 삭제해주시고
세 번째 다독임은 인원 8명으로 수정 부탁드립니다.
감사합니다.</t>
    <phoneticPr fontId="15" type="noConversion"/>
  </si>
  <si>
    <t>원부출력 오류</t>
    <phoneticPr fontId="15" type="noConversion"/>
  </si>
  <si>
    <t xml:space="preserve">안녕하세요. 보령도서관입니다. 
현재 원부출력에 들어갔을 때 원부년도에 2008,2009,2012,2013년만 선택이 가능하고 2025년이 입력이 되지 않습니다. 
확인 부탁드립니다. </t>
    <phoneticPr fontId="15" type="noConversion"/>
  </si>
  <si>
    <t>원부 추가 시, 입수구분을 미지정으로 생성 후 도서의 입수구분 변경하면 원부의 입수구분과 도서의 입수구분이 다를 수 있습니다.
입수구분이 다르면 원부에 추가가 안되지만, 동일한 상태에서 추가 후 수정하면 입수구분이 수정됩니다.
등록된 지 오래된 자료라 해당 변경 이력은 확인하기가 어렵고,
원부의 입수구분 변경을 원하시면
[등록&gt;원부관리&gt;입수구분: 미지정, 원부년도: 2012 or 2013&gt;원부선택&gt;수정&gt;입수구분 변경&gt;수정] 하시면 됩니다.</t>
    <phoneticPr fontId="15" type="noConversion"/>
  </si>
  <si>
    <t>홈페이지 내용 수정</t>
    <phoneticPr fontId="15" type="noConversion"/>
  </si>
  <si>
    <t>첨부파일 확인 바랍니다.</t>
    <phoneticPr fontId="15" type="noConversion"/>
  </si>
  <si>
    <t>삭제됨</t>
    <phoneticPr fontId="15" type="noConversion"/>
  </si>
  <si>
    <t>안녕하세요 남부평생교육원입니다. 
홈페이지 메인 화면에서 
취학 전 1,000권읽기 -&gt; 하루에 한 권씩 1,000권 읽기로 수정 요청드립니다. 
감사합니다.</t>
    <phoneticPr fontId="15" type="noConversion"/>
  </si>
  <si>
    <t>안녕하세요. 누리집 팝업 게시 요청드립니다.
제목: 2025년 상반기 평생교육 강좌 학습자 모집 안내
게시기한: 2025.3.7.(금)까지</t>
    <phoneticPr fontId="15" type="noConversion"/>
  </si>
  <si>
    <t>자료최신화</t>
    <phoneticPr fontId="15" type="noConversion"/>
  </si>
  <si>
    <t xml:space="preserve">1. 도서관이용안내-소장자료현황-에서 아래 표와 같이 소장자료 현행화 
- 도서                                                                     (2024. 12. 31. 기준)[단위: 권/종]
구 분
일반도서
아동도서
국외서
비도서
계
권수
비율(%)
총 류
3,893
1,674
84
129
5,780
3.1
철 학
5,931
1,468
83
55
7,537
4.0
종 교
2,541
1,282
39
30
3,892
2.1
사회과학
15,627
8,640
552
196
25,015
13.4
자연과학
3,602
11,961
187
257
16,007
8.6
기술과학
7,455
2,528
265
198
10,446
5.6
예 술
5,211
3,190
77
10051
18,529
9.9
언 어
3,105
2,817
2013
353
8,288
4.4
문 학
31,137
39,126
4823
97
75,183
40.3
역 사
6,804
8,586
131
324
15,845
8.6
계
85,306
81,272
8,254
11,690
186,522
100
- 비도서                                                                   (2024. 12. 31. 기준)[단위: 종]
CD (obb)
DVD(nbb)
계
56
11,634
11,690
2. 책바다, 책나래 사이트 바로가기 연결 오류 - 수정 부탁드립니다! </t>
    <phoneticPr fontId="15" type="noConversion"/>
  </si>
  <si>
    <t>안녕하세요
유구도서관입니다. 
홈페이지
1. 도서관소개-도서관현황-자료현황 내용
-자료현황                (2024년 12월 기준)
총류	철학	종교	사회과학	자연과학	기술과학	예술	언어	문학	역사	합계
2,649	4,469	2,809	13,629	7,333	6,628	4,201	2,651	40,640   7,021	
92,030
-정기간행물   (2025년)
 잡지 24종     / 신문 9종
이렇게 변경 부탁드립니다. 
2. 자료검색- 희망도서신청-도서신청하기 
  -처리과정 확인 방법 내용에 아래 내용 한줄 추가 부탁드립니다! 
신청 도서는 1~15일(1차) / 16~31일(2차)로 나누어 월 2회 구입 진행</t>
    <phoneticPr fontId="15" type="noConversion"/>
  </si>
  <si>
    <r>
      <t>홈페이지 수정 요청드립니다. 폰트는 그냥 그대로 내용만 변경 부탁드립니다~!
(1번)
메뉴 기관소개 -&gt; 운영지표에서 
3번째 박스의 운영중점에서 3번째 줄을 아래처럼 변경
(변경전) 미래를 함께 여는 문화예술 도서관 
(변경후) 미래의 행복을 키우는 도서관
============================================================
(2번)
메뉴 기관소개 -&gt; 운영지표에서 
3번째 박스의 운영중점에서 4번째 줄을 아래처럼 변경
(변경전) 삶과 배움을 연결하는 독서문화 배움터
(변경후) 배움이 즐거운 독서</t>
    </r>
    <r>
      <rPr>
        <sz val="14"/>
        <rFont val="Tahoma"/>
        <family val="3"/>
        <charset val="1"/>
      </rPr>
      <t>․</t>
    </r>
    <r>
      <rPr>
        <sz val="14"/>
        <rFont val="돋움"/>
        <family val="3"/>
        <charset val="129"/>
      </rPr>
      <t>인문교육
============================================================
(3번)
메뉴 기관소개 -&gt; 운영지표에서 
4번째 박스의 중점사업에서 1번째 줄을 아래처럼 변경(띄어쓰기)
(변경전) 충청남도교육청학생교육문화원영재교육원운영
(변경후) 충청남도교육청학생교육문화원영재교육원 운영
============================================================
(4번)
메뉴 기관소개 -&gt; 운영지표에서 
4번째 박스의 중점사업에서 3번째 줄을 아래처럼 변경(띄어쓰기)
(변경전) 찾아가는문화예술체험한마당
(변경후) 찾아가는 문화예술체험한마당
===============================================
(5번)
메뉴 기관소개 -&gt; 운영지표에서 
4번째 박스의 중점사업에서 4번째 줄을 아래처럼 변경
(변경전) 소외계층을 찾아가는 독서문화 프로그램 지원
(변경후) 인성의 바탕을 다지는 독서</t>
    </r>
    <r>
      <rPr>
        <sz val="14"/>
        <rFont val="Tahoma"/>
        <family val="3"/>
        <charset val="1"/>
      </rPr>
      <t>․</t>
    </r>
    <r>
      <rPr>
        <sz val="14"/>
        <rFont val="돋움"/>
        <family val="3"/>
        <charset val="129"/>
      </rPr>
      <t>인문교육 운영
============================================================
(6번)
메뉴 기관소개 -&gt; 일반현황 -&gt; 조직도페이지에서
가운데 문헌정보부 업무 변경
(변경전)
 교육문화프로그램
 독서행사 전개 
 맞춤형 독서컨텐츠 제공
(변경후)
독서문화 및 평생교육 프로그램
독서행사 전개
맞춤형 자료 제공
============================================================
(7번)
메뉴 문헌정보관 -&gt;프로그램 -&gt; 문화예술의 날에서
소메뉴 이름 변경 
(변경전) 문화예술의 날
(반경후) 문화예술의 날 어울림 행사
============================================================
(8번)
메뉴 문헌정보관 -&gt; 천안지역학교도서관지원센터 페이지에서
학교도서관지원센터의 운영사업에서
(변경전) 학교도서관 활용 수업 (천안 지역 초등학교 3~6학년 24학급)
(변경후) 학교도서관 활용 수업(천안지역 초등학교 3~6학년 20학급)
============================================================
(9번)
메뉴 문헌정보관 -&gt; 천안지역학교도서관지원센터 페이지에서
학교도서관지원센터의 운영사업에서
(변경전) 청소년 문화예술 강연 (충남 중, 고등학교 24교)
(변경후) 청소년 문화예술 강연(충남 도내 중</t>
    </r>
    <r>
      <rPr>
        <sz val="14"/>
        <rFont val="Tahoma"/>
        <family val="3"/>
        <charset val="1"/>
      </rPr>
      <t>․</t>
    </r>
    <r>
      <rPr>
        <sz val="14"/>
        <rFont val="돋움"/>
        <family val="3"/>
        <charset val="129"/>
      </rPr>
      <t>고등학교 20교)
============================================================
(10번)
메뉴 문헌정보관 -&gt; 천안지역학교도서관지원센터 페이지에서 
문의에서
(변경전) 904-6838
(변경후) 904-6832</t>
    </r>
    <phoneticPr fontId="15" type="noConversion"/>
  </si>
  <si>
    <t>게시판 내용 수정 요청</t>
    <phoneticPr fontId="15" type="noConversion"/>
  </si>
  <si>
    <t>안녕하세요, 평생교육원 문헌정보부입니다.
누리집-독서문화-독서동아리에서
중간 독서동아리 현황 표부분의 내용을 붙임표의 내용으로 수정 요청드립니다.
감사합니다.</t>
    <phoneticPr fontId="15" type="noConversion"/>
  </si>
  <si>
    <t>팝업 (알립니다) 게시 요청</t>
    <phoneticPr fontId="15" type="noConversion"/>
  </si>
  <si>
    <t>안녕하세요.
제목: 2025학년도 초등학력인정과정 문해교육 1단계 신입생 모집
사진 클릭하면 아래 링크로 연결되게 해주세요
감사합니다.
링크: 공지사항(글내용 보기) &lt; 열린마당 | 충청남도교육청학생교육문화원</t>
    <phoneticPr fontId="15" type="noConversion"/>
  </si>
  <si>
    <t>보령도서관 매주 금요일 두배로 대출 자동적으로 올라오지않음</t>
    <phoneticPr fontId="15" type="noConversion"/>
  </si>
  <si>
    <t>시스템적으로 통합도서관권수 바꾸는 작업 후 문제 발생했던걸로 확인 됨 정상적으로 처리완료 담주 금요일엔 자동적으로 바뀔것</t>
    <phoneticPr fontId="15" type="noConversion"/>
  </si>
  <si>
    <t>홈페이지 수정 요청 드립니다.
서식은 그대로 두되, 내용만 수정/추가 부탁드립니다~!
1. 예술교육관 메뉴의 예술영재교육원 안의 수정사항 -&gt; 한글파일의 내용으로 수정
2. 예술교육관 메뉴의 기획공연 -&gt; 기획공연소개에서 연간공연 안내에서 2025 탭 추가 -&gt; 그림 파일 처럼 수정
감사합니다~!</t>
    <phoneticPr fontId="15" type="noConversion"/>
  </si>
  <si>
    <t>홈페이지 수정요청</t>
    <phoneticPr fontId="15" type="noConversion"/>
  </si>
  <si>
    <t xml:space="preserve">안녕하세요. 평생교육원 입니다.
홈페이지 수정 사항
독서문화행사-나는야 독서왕 에 들어가는 내용을
파일 첨부합니다.
이름 항목에는 매월 선정자 이름으로 업데이트 예정입니다. 
감사합니다. </t>
    <phoneticPr fontId="15" type="noConversion"/>
  </si>
  <si>
    <t>팝업 게시 및 삭제요청</t>
    <phoneticPr fontId="15" type="noConversion"/>
  </si>
  <si>
    <t>안녕하세요. 
붙임 내용의 팝업 게시 부탁드립니다.
아울러 기존 &lt;2025년 겨울독서교실 수강생 모집&gt; 및 [충청남도교육청 통합전자도서관] 2024년 밀리의 서재 서비스 이용 안내
팝업은 삭제해 주세요~</t>
    <phoneticPr fontId="15" type="noConversion"/>
  </si>
  <si>
    <t>조직도 부분 수정 요청</t>
    <phoneticPr fontId="15" type="noConversion"/>
  </si>
  <si>
    <r>
      <t>안녕하세요.
학생교육문화원 총무부입니다.
기관소개 -&gt;일반현황 -&gt; 조직도부분 수정요청 드립니다~!
&lt;1번&gt;
기관소개 -&gt; 일반현황 -&gt; 조직도에서
문헌정보부 세번째 주무관 담당업무에서 아래처럼 변경&lt;한줄로 나오도록&gt;
(수정전) 2. 정기자료(일반) 및 특화자료(예술, 청소년 도서 등) 수집에 관한 사항
(수정후) 2. 정기자료, 특화자료(예술, 청소년 도서 등) 수집에 관한 사항
===========================================
&lt;2번&gt;
기관소개 -&gt; 일반현황 -&gt; 조직도에서
문헌정보부 여섯번째 주무관 담당업무에서 아래처럼 변경&lt;한줄로 나오도록&gt;
(수정전) 6. 열람실 및 도서관 소규모 시설공사 등 시설물 관리에 관한 사항
(수정후) 6. 도서관 소규모 시설공사 등 시설 관리에 관한 사항
=============================================
&lt;3번&gt;
기관소개 -&gt; 일반현황 -&gt; 조직도에서
총무부 주무관(번호가 904-8448인) 담당업무에서 아래처럼 변경&lt;한줄로 나오도록&gt;
(수정전) 3.청사 유지관리 및 안전관리(음향실 및 입구계단, 공연장 무대 및 객석)
(수정후) 3.청사 유지관리 및 안전관리
=============================================
&lt;4번&gt;
기관소개 -&gt; 일반현황 -&gt; 조직도에서
총무부 주무관(번호가 904-8449인) 담당업무에서 아래처럼 변경
(수정전)
2. 공연장 무대, 무대조정실 운용∙유지 관리
  청사 유지관리 및 안전관리(무대조정실, 무대계단, 장비반입구, 장비창고, 분장실, 공연장 무대 및 객석)
3. 공연장 무대 운용∙유지 관리협조
4. 공연·행사시 진행과 주차 지원
(수정후)
2. 공연장 무대, 무대조정실 운용∙유지 관리
3. 청사 유지관리 및 안전관리
4. 공연장 무대 운용∙유지 관리협조
5. 공연·행사시 진행과 주차 지원
================================================
&lt;5번&gt;
기관소개 -&gt; 일반현황 -&gt; 조직도에서
총무부 주무관(번호가 904-6850인) 담당업무에서 아래처럼 변경
(수정전)
1. 각종 공연·행사 진행 총괄에 관한 사항
2. 공연장 무대 운용·유지 관리
3. 청사 유지관리 및 안전관리 총괄
(무대조정실, 무대계단, 장비 반입구, 장비창고, 분장실, 공연장 무대 및 객석)
4. 공연에 따른 사전 스텝회의 및 안전관련 회의 운영
(수정후)
1. 각종 공연·행사 진행 총괄에 관한 사항
2. 공연장 무대 운용·유지 관리
3. 청사 유지관리 및 안전관리 총괄
4. 공연에 따른 사전 스텝회의 및 안전관련 회의 운영
=====================================
&lt;6번&gt;
기관소개 -&gt; 일반현황 -&gt; 조직도에서
총무부 주무관(번호가 904-8456인) 담당업무에서 아래처럼 변경
(수정전)
1. 히트펌프·공조기 운용, 기계실 운용·유지관리
2. 청사 유지관리 및 안전관리
(냉</t>
    </r>
    <r>
      <rPr>
        <sz val="14"/>
        <rFont val="Tahoma"/>
        <family val="3"/>
        <charset val="1"/>
      </rPr>
      <t>․</t>
    </r>
    <r>
      <rPr>
        <sz val="14"/>
        <rFont val="돋움"/>
        <family val="3"/>
        <charset val="129"/>
      </rPr>
      <t>난방, 기계, 소방  시설 및 관리, 배관, 공연장 무대 및 객석) 
3. 중앙감시실 및 각종 설비실 유지관리
(공조실, 정화조, 지하 및 옥상 저수탱크)
4. 각종 공연·행사시 진행과 주차 지원
(수정후)
1. 히트펌프·공조기 운용, 기계실 운용·유지관리
2. 청사 유지관리 및 안전관리
3. 중앙감시실 및 각종 설비실 유지관리
4. 각종 공연·행사시 진행과 주차 지원
======================================
&lt;7번&gt;
기관소개 -&gt; 일반현황 -&gt; 조직도에서
총무부 주무관(번호가 904-8447인) 담당업무에서 아래처럼 변경
(수정전)
1. 대공연장 공연·행사시 조명기기 조작 및 행사 운영
2. 대공연장 및 전시실 조명실 운용·유지 관리
3. 청사 유지관리 및 안전관리
(공연장 조명실, 디머실, 입구계단, 공연장 무대 및 객석)
4. 소공연장 공연·행사시 진행과 주차 지
(수정후)
1. 대공연장 공연·행사시 조명기기 조작 및 행사 운영
2. 대공연장 및 전시실 조명실 운용·유지 관리
3. 청사 유지관리 및 안전관리
4. 소공연장 공연·행사시 진행과 주차 지원
====================================
&lt;8번&gt;
기관소개 -&gt; 일반현황 -&gt; 조직도에서
총무부 주무관(번호가 904-8453인) 담당업무에서 아래처럼 변경
(수정전) 
1. 소공연장 공연·행사시 조명기기, 무대기계 조작  및 행사 운영
2. 소공연장 및 전시실 조명실 운용·유지 관리
3. 청사 유지관리 및 안전관리
(공연장 조명실, 디머실, 입구계단, 대·소공연장 무대 및 객석)
4. 대공연장 공연·행사시 진행과 주차 지원
(수정후)  
1. 소공연장 공연·행사시 조명, 무대기기 조작 및 행사 운영
2. 소공연장 및 전시실 조명실 운용·유지 관리
3. 청사 유지관리 및 안전관리
4. 대공연장 공연·행사시 진행과 주차 지원
===============================================
&lt;9번&gt;
기관소개 -&gt; 일반현황 -&gt; 조직도에서
총무부 주무관(번호가 904-8454인) 담당업무에서 아래처럼 변경
(수정전)
1. 소공연장 공연·행사시 음향기기, 무대기계 조작 및 행사지원
2. 소공연장 및 전시실 음향실 운용·유지 관리
3. 청사 유지관리 및 안전관리
(음향실 및 입구계단, 대·소공연장 무대 및 객석)
4. 전기 안전관리에 관한 사항 지원
5. 대공연장 공연·행사시 진행과 주차 지원
(수정후)
1. 소공연장 공연·행사시 음향기기, 무대기계 조작 및 행사지원
2. 소공연장 및 전시실 음향실 운용·유지 관리
3. 청사 유지관리 및 안전관리
4. 전기 안전관리에 관한 사항 지원
5. 대공연장 공연·행사시 진행과 주차 지원
===============================================
&lt;10번&gt;
-첨부파일처럼-
조직도 맨 위에 도형에서 각부서 업무 도형의 크기가 동일하게 되도록
총무부 첫번째 업무를 아래처럼 수정
(수정전) 교특회계예산 편성 및 집행
(수정후) 교특회계편성 및 집행</t>
    </r>
    <phoneticPr fontId="15" type="noConversion"/>
  </si>
  <si>
    <t xml:space="preserve">안녕하세요.
학생교육문화원 총무부입니다.
기관소개 -&gt;시설안내 부분 수정요청 드립니다~!
&lt;1번&gt;
기관소개 -&gt; 시설안내 -&gt; 문화예술관 -&gt; 음향시설에서
대공연장 부분의
보유장비명: 콘솔 의 제품명 변경
(수정전) YAMAHA M7CL
(수정후) AVID, S6L
&lt;2번&gt;
기관소개 -&gt; 시설안내 -&gt; 문화예술관 -&gt; 음향시설에서
대공연장 부분의
보유장비명 중에 모니터 스피커를 사이드 스피커로변경
(수정전) 모니터 스피커
(수정후) 사이드 스피커
&lt;3번&gt;
기관소개 -&gt; 시설안내 -&gt; 문화예술관 -&gt; 음향시설에서
대공연장 부분의
보유장비명 중에 모니터 스피커를 사이드 스피커로 변경한 후
그 옆에 제품명을 아래처럼 변경
(수정전) MEYER MJF 212F
(수정후) Meyer Sound, ULTRA-X40
&lt;3번&gt;
기관소개 -&gt; 시설안내 -&gt; 문화예술관 -&gt; 음향시설에서
대공연장 장비부분의 유선마이크 중 제품명 SHURE SM57의 수량을
(수정전) 5
(수정후) 6
&lt;4번&gt; 
기관소개 -&gt; 시설안내 -&gt; 문화예술관 -&gt; 음향시설에서
대공연장 장비부분에서 CDP 줄 전체삭제, LCD프로젝트 줄 전체삭제(총2줄 삭제)
&lt;5번&gt;
기관소개 -&gt; 시설안내 -&gt; 문화예술관 -&gt; 음향시설에서
대공연장 부분 보유장비 빔프로젝터 1줄 추가(총1줄 추가)
대공연장 -보유장비명: 빔프로젝터 - 제품명: PT-RZ21K - 수량: 1 </t>
    <phoneticPr fontId="15" type="noConversion"/>
  </si>
  <si>
    <t>* 자료검색-희망도서신청-도서신청하기-희망자료구입 제외대상 부분 수정부탁드립니다.
1.행 삭제
-출판된지 5년 이상 된 자료(단, 컴퓨터관련자료는 출판된지 2년이상된자료)
2. 내용수정
-양서도 신청가능하며 정기구입에 반영 -&gt; 영어도서의 경우 신청은 가능하나 정기도서 구입시 반영(국내 수입이 어려울 경우 구입 불가)
* 자료검색-희망도서신청-도서신청하기-신청 시 유의사항 부분 수정부탁드립니다.
1. 내용수정
-대출권수: 대출도서 포함 10권까지 대출가능 -&gt; '20권'으로 수정
수정부탁드립니다.</t>
    <phoneticPr fontId="15" type="noConversion"/>
  </si>
  <si>
    <t>홈페이지 팝업 수정 요청</t>
    <phoneticPr fontId="15" type="noConversion"/>
  </si>
  <si>
    <t>하단의 이미지를 '2025년 상반기 평생교육 프로그램 수강생 모집' 제목으로 팝업에 올려 주시고 이미지를 눌렀을 때 동일한 제목의 공지사항 게시글로 들어갈 수 있도록 해 주세요.</t>
    <phoneticPr fontId="15" type="noConversion"/>
  </si>
  <si>
    <t>홈페이지 수정 추가 요청</t>
    <phoneticPr fontId="15" type="noConversion"/>
  </si>
  <si>
    <t xml:space="preserve">안녕하세요.  학생교육문화원 홈페이지 수정요청드립니다.        =======================================================                     &lt;1번&gt;      기관소개 &gt; 시설안내 &gt; 예술교육관 &gt; 층별안내에서      층별안내 &lt; 예술교육관 &lt; 시설안내 &lt; 기관소개  충청남도교육청학생교육문화원     지상 1층 안내의 그림을 첨부파일의 예술교육관 1층파일로 변경              =====================================================================              &lt;2번&gt;      기관소개 &gt; 시설안내 &gt; 예술교육관 &gt; 층별안내에서      층별안내 &lt; 예술교육관 &lt; 시설안내 &lt; 기관소개 </t>
    <phoneticPr fontId="15" type="noConversion"/>
  </si>
  <si>
    <t xml:space="preserve">이용안내 &gt; 도서관견학 페이지의 내용을 붙임문서의 내용으로 변경해주기 바랍니다. </t>
    <phoneticPr fontId="15" type="noConversion"/>
  </si>
  <si>
    <t>게시글 정보 수정</t>
    <phoneticPr fontId="15" type="noConversion"/>
  </si>
  <si>
    <t>도서관소개 &gt; 도서관현황 &gt; 시설현황의  - 도서관시설 하단의 표의 1층 열 부분에 있는 '평생학습3실'과 '일반열람실'을 '휴게실'과 '일반학습실'로 바꿔 주세요. 감사합니다.</t>
    <phoneticPr fontId="15" type="noConversion"/>
  </si>
  <si>
    <t>팝업 '2025년 상반기 평생교육 프로그램 수강생 모집'에 걸려 있는 이미지를 하단의 것으로 수정해 주세요. 감사합니다.</t>
    <phoneticPr fontId="15" type="noConversion"/>
  </si>
  <si>
    <t>시간표 변경</t>
    <phoneticPr fontId="15" type="noConversion"/>
  </si>
  <si>
    <t>독서문화 &gt; 독서교육프로그램 &gt; 독서문화프로그램시간표
현재 2024년도 시간표에서 2025년 시간표로 변경해주세요.</t>
    <phoneticPr fontId="15" type="noConversion"/>
  </si>
  <si>
    <t>금산도서관 홈페이지 내용을 첨부파일 내용 반영하여 수정부탁드립니다.</t>
    <phoneticPr fontId="15" type="noConversion"/>
  </si>
  <si>
    <t>어제 수정해주신 부분에서
도서관소개&gt;도서관현황&gt;자료현황 의 기준일자가 수정이 되지 않아서 다시 부탁드립니다.
표 위에 기재되어있는  (2024. 1. 1. 현재, 단위: 권) 을 (2025. 1. 1. 현재, 단위: 권)으로 수정 부탁드립니다.</t>
    <phoneticPr fontId="15" type="noConversion"/>
  </si>
  <si>
    <t>도서 제목 오류</t>
    <phoneticPr fontId="15" type="noConversion"/>
  </si>
  <si>
    <t xml:space="preserve">비치 희망도서 신청 도서 제목이 이달의 이웃비 이지만 빛을 걷으면 빞으로 잘못표기됨 </t>
    <phoneticPr fontId="15" type="noConversion"/>
  </si>
  <si>
    <t xml:space="preserve">확인결과 이달의 이웃비에 대한 정보값은 제대로 들어갔지만 제목에서만 오류 채움쪽문의시 홈페이지나 리브로피아에서 넘어올때부터 제목이 다르게 들어온것으로 확인됨 희망자료수정을 통하여 제목 수정및 취소 후 재 신청 요청드림 </t>
    <phoneticPr fontId="15" type="noConversion"/>
  </si>
  <si>
    <t>프로그램 내용</t>
    <phoneticPr fontId="15" type="noConversion"/>
  </si>
  <si>
    <t>시간표 수정 다시 요청합니다
독서문화 &gt; 독서교육프로그램 &gt; 독서문화프로그램시간표
첨부파일로 수정 부탁드려요 ~</t>
    <phoneticPr fontId="15" type="noConversion"/>
  </si>
  <si>
    <t>홈페이지 팝업 내용 추가 요청</t>
    <phoneticPr fontId="15" type="noConversion"/>
  </si>
  <si>
    <t>안녕하세요, 아산도서관입니다.
홈페이지 팝업에 내용 추가 요청드립니다.
2025년 상반기 평생교육 프로그램 수강생 모집 추가해주시고, 누르면 붙임 안내문 볼 수 있도록 부탁드립니다.
감사합니다.</t>
    <phoneticPr fontId="15" type="noConversion"/>
  </si>
  <si>
    <t>&lt;1번&gt;
https://chsl.cne.go.kr/msi/cntntsService.do?menuId=MNU_0000000000001200
기관소개 &gt; 시설안내 &gt; 예술교육관 &gt; 층별안내 에서
지상 1층 안내 이미지를 첨부파일의  예술교육관 1층 이미지로 교체
======================================================================
&lt;2번&gt;
https://chsl.cne.go.kr/msi/cntntsService.do?menuId=MNU_0000000000001200
기관소개 &gt; 시설안내 &gt; 예술교육관 &gt; 층별안내 에서
지상 2층 안내 이미지를 첨부파일의 예술교육관 2층 이미지로 교체
======================================================================
&lt;3번&gt;
https://chsl.cne.go.kr/msi/cntntsService.do?menuId=MNU_0000000000001200
기관소개 &gt; 시설안내 &gt; 예술교육관 &gt; 층별안내 에서
지상 3층 안내 이미지를 첨부파일의 예술교육관 3층 이미지로 교체
======================================================================
&lt;4번&gt;
https://chsl.cne.go.kr/msi/cntntsService.do?menuId=MNU_0000000000001200
기관소개 &gt; 시설안내 &gt; 예술교육관 &gt; 층별안내에서
지상 4층 안내 이미지를 첨부파일의 예술교육관 4층 이미지로 교체
======================================================================
&lt;5번&gt;
https://chsl.cne.go.kr/msi/cntntsService.do?menuId=MNU_0000000000001035
기관소개 &gt; 일반현황 &gt; 조직도에서
예술진흥부 세번째 교사 번호 변경
(수정전) 904-6851
(수정후) 904-6823
======================================================================
&lt;6번&gt;
https://chsl.cne.go.kr/msi/cntntsService.do?menuId=MNU_0000000000001021
기관소개 &gt; 오시는길 에서
연락처 부분 2군데 변경
(수정전)
/ 대관문의 (041)904-8458 /
(수정후)
/ 대관문의 (041)904-8459 /
(수정전)
/ 영재교육원 (041)904-6846 / 
(수정후)
/ 영재교육원 (041)904-6844 / 
======================================================================
&lt;7번&gt;
https://chsl.cne.go.kr/msi/cntntsService.do?menuId=MNU_0000000000001022
기관소개 &gt; 행정서비스헌장에서
예술진흥부 교육행정서비스 이행기준의 번호 변경
(수정전)
904-6833
(수정후)
904-6838
======================================================================
&lt;8번&gt;
https://chsl.cne.go.kr/msi/cntntsService.do?menuId=MNU_0000000000001022
기관소개 &gt; 행정서비스헌장에서
문헌정보부 교육행정서비스 이행기준의 번호 변경
(수정전)
904-6835
(수정후)
904-6825
======================================================================
&lt;9번&gt;
주요업무계획 &lt; 기관소개 | 충청남도교육청학생교육문화원
에서
바로 보여지는 파일 / 버튼 누르면 다운로드 되는 파일을
첨부파일의 2025 학생교육문화원_주요업무계획_웹용.pdf (이 파일이 최종변경본임) 으로 변경</t>
    <phoneticPr fontId="15" type="noConversion"/>
  </si>
  <si>
    <t>알립니다 게시</t>
    <phoneticPr fontId="15" type="noConversion"/>
  </si>
  <si>
    <t>알립니다 게시 목록 중
제목: 2025년 상반기 평생교육 프로그램 수강생(학습자) 모집 안내
이미지가 안뜨는데 확인부탁드립니다 감사합니다</t>
    <phoneticPr fontId="15" type="noConversion"/>
  </si>
  <si>
    <t>내용 수정</t>
    <phoneticPr fontId="15" type="noConversion"/>
  </si>
  <si>
    <t xml:space="preserve">독서문화-&gt; 독서교율 프로그램 시간표
수정해주신 내용에 내용이 잘못 입력 되어있습니다.
왼쪽 첫번째칸에서
다문화자료실 302호 (1층) 
부분을 "다문화자료실(1층)" 으로 다시 수정 부탁드립니다.
 </t>
    <phoneticPr fontId="15" type="noConversion"/>
  </si>
  <si>
    <t>상호대차 횟수 복구 요청</t>
    <phoneticPr fontId="15" type="noConversion"/>
  </si>
  <si>
    <t>예산도서관입니다.
대출자번호: 14413619005057 
이름: 남상경
이용자분이 상호대차 신청 취소하셔서,
상호대차신청횟수 1건 복구 요청드립니다.
감사합니다.</t>
    <phoneticPr fontId="15" type="noConversion"/>
  </si>
  <si>
    <t>상호대차 횟수 복구 되었습니다.</t>
    <phoneticPr fontId="15" type="noConversion"/>
  </si>
  <si>
    <t>희망도서 우선대출 오류</t>
    <phoneticPr fontId="15" type="noConversion"/>
  </si>
  <si>
    <t xml:space="preserve">처리중 상태인 희망도서가 도서관에 납품이 되어 자료연계 후, 소장자료로 변경하였는데 
해당도서 신청 이용자 이름으로 조회했을 때, 우선예약으로 도서가 뜨지 않습니다. 
희망도서와 신청자 캡처본 첨부해드립니다. 
확인 부탁드리겠습니다 :) </t>
    <phoneticPr fontId="15" type="noConversion"/>
  </si>
  <si>
    <t xml:space="preserve"> 전화처리완료. 25/02/25  09:39  
등록정보가 입력이 되지 않아 일어난걸로 확인됨.</t>
    <phoneticPr fontId="15" type="noConversion"/>
  </si>
  <si>
    <t>무인대출예약기 관련 문의</t>
    <phoneticPr fontId="15" type="noConversion"/>
  </si>
  <si>
    <t>무인대출예약의 경우 소장중인 대출가능 도서의 경우 홈페이지 상에서 무인예약 버튼이 활성화 되어 
예약할 수 있는데 ,
원래 일반예약의 경우는 대출가능 도서의 경우는 예약 할 수 없는 걸로 알고 있는데 무인예약의 경우 이와 달라서 
무인대출예약의 경우 이렇게 소장중인 도서를 예약하는 기능인 건지 정확히 알고 싶습니다.
그리고 무인예약을 할 경우 바로 예약 만기일이 3일 후로 자동 설정이 되어서 대출가능하지 않은 상태에도 자동으로 부여되어 불편한 경우가 많습니다.
이 기능을 안 쓰고 수동으로 예약만기일을 부여하고 싶습니다.
관련 문의는 904-6835로 주시면 감사하겠습니다.</t>
    <phoneticPr fontId="15" type="noConversion"/>
  </si>
  <si>
    <t>무인대출예약은 소장중/대출중인 도서에 예약이 가능합니다.
그리고 KLAS에는 무인예약건에 만기일 부여할 수 있는 기능이 따로 없고,
소장중인 책에 예약을 걸기 때문에 자동으로 취소될 수 있도록 만기일을 부여하는 부분입니다.
수동 설정은 따로 할 수 없습니다.</t>
    <phoneticPr fontId="15" type="noConversion"/>
  </si>
  <si>
    <t>누리집 기획공연 수정 요청</t>
    <phoneticPr fontId="15" type="noConversion"/>
  </si>
  <si>
    <t>붙임 파일 참고하셔서 수정 부탁드립니다.
감사합니다.</t>
    <phoneticPr fontId="15" type="noConversion"/>
  </si>
  <si>
    <t xml:space="preserve">희망자료 우선 예약 </t>
    <phoneticPr fontId="15" type="noConversion"/>
  </si>
  <si>
    <t>희망자료 우선예약이 걸리지 않아 문의</t>
    <phoneticPr fontId="15" type="noConversion"/>
  </si>
  <si>
    <t>확인 결과 처음 문제는 반입시 선생님 계정이 평교 정직원이라는 메뉴패턴을 가지고 있지 않았다가 설정을 하였지만 메뉴패턴이 돌아오지않아 개인적으로 선생님께서 설정을 하셔야될 것 같다고 전달드림 하지만 코드가 없어 확인 후 말씀드리기로 함 희망자료 우선예약이 걸리지 않았던 이유는 자료연계후 배가일자를 수정해주셔야되는데 배가일자 먼저 수정 후 자료 연계를 하셔서 되지않았던걸로 확인되지만 이럴경우 소장장료로 된 도서를 정리대상자료로 변경 후 배가일자를 수정 해주시면 됩니다. 자료연계도 이루어지지 않은 경우에는 정리대상자료로 변경 후 자료연계 후 배가일자를 수정해주시면 우선예약이 됩니다.</t>
    <phoneticPr fontId="15" type="noConversion"/>
  </si>
  <si>
    <t>누리집 개인정보 차단 필터 적용 문의</t>
    <phoneticPr fontId="11" type="noConversion"/>
  </si>
  <si>
    <t>안녕하세요.
학생교육문화원 홈페이지 담당자입니다..
다름이 아니라 문화원 누리집 개인정보 차단시스템을 적용해야한다는 공문이 왔는데요...
제가 컴퓨터를 잘 모르는데 홈페이지 담당자여서 
여기에 문의드립니다..
1. 한글파일에 보면 자바기반으로 한 홈페이지랑 그외 기반으로 만든 홈페이지랑
필터가 다른데 문화원 누리집에는 어떤거 적용해야하는지...
2. 여기에 이렇게 올려드리면 게시판에 필터로 적용시켜주시는것인지 궁금합니다..
혹시 제문의가 필요하시면 041-904-8458로 연락부탁드리겠습니다.
감사합니다.</t>
    <phoneticPr fontId="11" type="noConversion"/>
  </si>
  <si>
    <t>통합도서관 같은 경우에는 모든 사이트에 개인정보 차단시스템이 적용되어져 있습니다.
첨부파일 참조 된 이미지 보시면 정상적으로 차단되고 있는 것 확인가능하시고 테스트로 개인정보가 들어간 글 써보셔도 됩니다.</t>
    <phoneticPr fontId="11" type="noConversion"/>
  </si>
  <si>
    <t>테스트용 기획공연 작업 삭제 부탁드립니다.</t>
    <phoneticPr fontId="11" type="noConversion"/>
  </si>
  <si>
    <t>삭제 부탁드립니다.
예술교육관 -&gt; 기획공연 -&gt; 기획공연 소개 (연간공연 안내) -&gt; 프로그램 신청/예매에서
(무용/개인 예매)백조의 호수
2. [복사][복사] 예매시스템 점검
3. [복사] 예매시스템 점검
4. [복사](연극/개인예매) 라이어3</t>
    <phoneticPr fontId="11" type="noConversion"/>
  </si>
  <si>
    <t>안녕하세요 주무관님
요청하신 사항은 저희 소관이 아닙니다.
해당 관리하는 곳에 문의해주시기 바랍니다.
https://chsl.moonhwain.kr:447/
감사합니다.</t>
    <phoneticPr fontId="11" type="noConversion"/>
  </si>
  <si>
    <t>홈페이지 게시판 내용 수정</t>
    <phoneticPr fontId="11" type="noConversion"/>
  </si>
  <si>
    <t>기관안내&gt;주요업무계획을 붙임파일로 교체부탁드립니다. 감사합니다.</t>
    <phoneticPr fontId="11" type="noConversion"/>
  </si>
  <si>
    <t>홈페이지 접속자 수 통계</t>
    <phoneticPr fontId="11" type="noConversion"/>
  </si>
  <si>
    <t>홈페이지 접속자 수 통계 재 요청</t>
    <phoneticPr fontId="11" type="noConversion"/>
  </si>
  <si>
    <t>메일과 선생님 핸드폰으로 재전달드림</t>
    <phoneticPr fontId="11" type="noConversion"/>
  </si>
  <si>
    <t>상호대차</t>
    <phoneticPr fontId="11" type="noConversion"/>
  </si>
  <si>
    <t>이용자 분께서 상호대차 2권은 신청이 되지만 나머지 1권은 신청이 안됨</t>
    <phoneticPr fontId="11" type="noConversion"/>
  </si>
  <si>
    <t>선생님께서 확인 결과 다른도서관에 대출권이 있는걸로 확인됨 다른 가족아이디로 신청 후 불가 시 재접수 주시기로 함 /상호대차 복구권과 함께 요청주실예정</t>
    <phoneticPr fontId="11" type="noConversion"/>
  </si>
  <si>
    <t>운영규정 내용 수정 요청</t>
    <phoneticPr fontId="15" type="noConversion"/>
  </si>
  <si>
    <t>도서관운영규정 내용 수정 요청드립니다.
첨부물 내용 중
파란색 글씨는 조항마다 그대로 붙여넣기 
빨강색 글씨는 추가하기
부탁드립니다.</t>
    <phoneticPr fontId="15" type="noConversion"/>
  </si>
  <si>
    <t>홈페이지 팝업 요청</t>
    <phoneticPr fontId="15" type="noConversion"/>
  </si>
  <si>
    <t>안녕하세요. 남부평생교육원 전진영입니다.
팝업 요청 부탁드립니다.
1. 제목: 2025년 3월 공습 대비 민방위 훈련 실시
2. 게시 기간: 오늘부터 ~3월 21일까지
3. 첨부파일 내용을 게시 부탁드립니다.
감사합니다.</t>
    <phoneticPr fontId="15" type="noConversion"/>
  </si>
  <si>
    <t>총무부</t>
    <phoneticPr fontId="15" type="noConversion"/>
  </si>
  <si>
    <t>행정정보 - 공공데이터 개방 내용 수정</t>
    <phoneticPr fontId="15" type="noConversion"/>
  </si>
  <si>
    <t>. 공공데이터 개방 책임관
 &gt; 관장 OOO(041-688-4605)
. 공공데이터제공 실무담당자
 &gt; 주무관 OOO(041-688-0351)
이렇게 수정해주세요</t>
    <phoneticPr fontId="15" type="noConversion"/>
  </si>
  <si>
    <t>안녕하세요, 공주도서관입니다.
도서관소개-도서관현황-자료 현황 정보 현행화를 붙임 파일과 같이 요청드립니다.
감사합니다.</t>
    <phoneticPr fontId="15" type="noConversion"/>
  </si>
  <si>
    <t>안녕하세요.
&lt;2025년 상반기 평생교육 프로그램 수강생 모집&gt; 팝업 삭제 요청드립니다.
감사합니다.</t>
    <phoneticPr fontId="15" type="noConversion"/>
  </si>
  <si>
    <t>회원정보 이미지 삭제 문의</t>
    <phoneticPr fontId="15" type="noConversion"/>
  </si>
  <si>
    <t>통합도서관 이전 시스템에서 끌어온 회원중에 사진데이터가 남아있는 회원이 있습니다.
일괄적으로 사진데이터를 삭제하고 싶습니다.
샘플 회원정보 공유드립니다.
14400423000471
문헌정보부 정유애(041-730-7724)</t>
    <phoneticPr fontId="15" type="noConversion"/>
  </si>
  <si>
    <t>상호대차 오류 확인</t>
    <phoneticPr fontId="15" type="noConversion"/>
  </si>
  <si>
    <t>안녕하세요.
14400523001617 
채주인
상기의 이용자분께서 상호대차 신청을 하시면
도서관에 문의하라고 뜬다 하시는데 횟수초과는 아닙니다.
(25년 1회 사용)
제가 검색했을때는 문제가 없는데 왜 오류가 나는지
확인 부탁 드립니다.</t>
    <phoneticPr fontId="15" type="noConversion"/>
  </si>
  <si>
    <t xml:space="preserve"> 현재 정상적으로 상호대차가 가능하도록 조치완료 되었습니다.
이와같은 문제가 재발생시 문의주세요.</t>
    <phoneticPr fontId="15" type="noConversion"/>
  </si>
  <si>
    <t>책바다</t>
    <phoneticPr fontId="15" type="noConversion"/>
  </si>
  <si>
    <t>책바다는 KLAS와 연동이 되어있지 않아 책바다 대출중인 도서는 KLAS상 비치 도서로 확인됨 책나래 대출중은 있지만 자료상태에 책바다가 없음 따로 추가 요청</t>
    <phoneticPr fontId="15" type="noConversion"/>
  </si>
  <si>
    <t>상호대차 자료상태는 있기때문에 상호대차 처리로 해주시면 됩니다. 자료상태 같은경우는 국중에서 나온 코드로 사용하기 때문에 책나래 대출중 이라는 코드와 같이 책바다 대출중을 따로 만들 수 는 없습니다. 전화 안내드림</t>
    <phoneticPr fontId="15" type="noConversion"/>
  </si>
  <si>
    <t xml:space="preserve">프로그램안내 &lt; 프로그램 안내 | 충청남도부여교육지원청부여도서관
프로그램 안내 내용을 붙임 파일 내용으로 수정 바랍니다. ^^ </t>
    <phoneticPr fontId="15" type="noConversion"/>
  </si>
  <si>
    <t>팝업 게시 부탁드립니다.</t>
    <phoneticPr fontId="15" type="noConversion"/>
  </si>
  <si>
    <t>선생님 안녕하세요
붙임의 기획공연 팝업 게시 부탁드립니다
참고로 2025.3.10.부터 신청/예매 시작으로 급하게 게시 부탁드립니다. 죄송합니다.
수고하세요!</t>
    <phoneticPr fontId="15" type="noConversion"/>
  </si>
  <si>
    <t>상호대차 차감 복구</t>
    <phoneticPr fontId="15" type="noConversion"/>
  </si>
  <si>
    <t>상호대차 당일 신청후 취소로 인하여 횟수 차감된 부분 복구 요청드립니다.
   이용자
    전유화 14400622006290
    이윤정 14400621001891</t>
    <phoneticPr fontId="15" type="noConversion"/>
  </si>
  <si>
    <t xml:space="preserve"> 두분 모두 상호대차 횟수 복구 처리완료 했습니다.
-상호대차 복구 요청시-
이용자분 아이디, 성함 , 신청취소 날짜, 책제목 등 첨부 부탁드립니다.</t>
    <phoneticPr fontId="15" type="noConversion"/>
  </si>
  <si>
    <t>부여도서관 담당자입니다
1. 도서관소개-연혁
history 밑에 연도 삭제하고 내역을 히스토리 밑으로 옮겨주세요
2. 직원소개
2024. 7. 1. -&gt; 2025. 1. 1.
3. 도서관현황
2024. 7. 1. -&gt; 2025. 1. 1.
아동도서: 31,385
일반도서: 53,731
합계: 85,116
4. 순회문고
운영방법-대출방법
기관에서 도서관 방문 또는 사서가 기관에 방문하여 대출/반납
이라고 수정 부탁드립니다
5. 프로그램 안내
독서 학습 동아리
회원수 칸 삭제 부탁드립니다</t>
    <phoneticPr fontId="15" type="noConversion"/>
  </si>
  <si>
    <t>마크파일 다운로드 오류 관련 요청</t>
    <phoneticPr fontId="15" type="noConversion"/>
  </si>
  <si>
    <t>안녕하세요, 홍성도서관입니다.
현재 소장자료관리에서 원하는 등록번호(1947권)들을 텍스트 파일로 업로드한 후 마크파일들을 다운로드하려 하니,
처음 1000건,처음 500건 등으로 시도할 때는 정상적으로 다운로드되나,
이후에는 첨부한 사진과 같은 화면이 나오면서 나머지 자료들을 마크파일로 받을 수 없는 상태입니다.
해결 부탁드립니다.
감사합니다.</t>
    <phoneticPr fontId="15" type="noConversion"/>
  </si>
  <si>
    <t xml:space="preserve"> 텍스트 파일을 업로드 하실때 1000건씩으로 파일을 나눠서 한번씩 해주시면 오류발생하지 않는걸로 확인됩니다.
전화 안내 처리완료  25.03.07  16:14</t>
    <phoneticPr fontId="15" type="noConversion"/>
  </si>
  <si>
    <t>홈페이지 내용 추가</t>
    <phoneticPr fontId="15" type="noConversion"/>
  </si>
  <si>
    <t>안녕하세요. 평생교육원 입니다.
홈페이지 수정 사항
독서문화행사-나는야 독서왕 에  2월 독서왕 이름 추가합니다. 
이*현
이*범
최*안</t>
    <phoneticPr fontId="15" type="noConversion"/>
  </si>
  <si>
    <t>운영규정 재수정 요청</t>
    <phoneticPr fontId="15" type="noConversion"/>
  </si>
  <si>
    <t>안녕하세요?
운영규정 수정 요청한 부분 중 수정이 안된 부분이 있어서 재수정 요청드립니다.
지난번에 첨부해 드린 자료 참고 부탁드리며,
아래에 수정 요청 내용 안내드립니다.
- 운영규정 제목 수정:   '충청남도당진교육지원청당진도서관 운영규정'으로 수정('일부개정(안)' 삭제)
- 제3조:   '라. 도서관 개관기념일(10월14일)'  삭제
- 제46조:   '제46조(강사비의 지급 기준)'을 '제46조(강사비의 지급)'으로 수정
- 제46조:   ① ② ③ 사이 간격 없도록 붙여주세요</t>
    <phoneticPr fontId="15" type="noConversion"/>
  </si>
  <si>
    <t>현재 팝업으로 올라와 있는 '2025년 상반기 평생교육 프로그램 수강생 모집'을 내려 주세요. 감사합니다.</t>
    <phoneticPr fontId="15" type="noConversion"/>
  </si>
  <si>
    <t>도서 입력 관련</t>
    <phoneticPr fontId="15" type="noConversion"/>
  </si>
  <si>
    <t>안녕하세요.
열람-소장자료관리-입력 창을 통해 도서 등록을 했는데,
같은날 등록한 책들 중 아래 6권들만 소장자료에서 검색이 안됩니다.
배가일은 2025-03-06이며 원부번호 2025년 6번입니다.
EMT109328
EMT109329
EMT109330
EMT109331
EMT109333
EMT109334
확인부탁드리겠습니다.</t>
    <phoneticPr fontId="15" type="noConversion"/>
  </si>
  <si>
    <t>색인문제로 확인되어 재색인 처리했습니다.
소장자료관리에서 검색되니 확인 부탁드립니다.
전화처리완료 25/03/11</t>
    <phoneticPr fontId="15" type="noConversion"/>
  </si>
  <si>
    <t>전화문의/자료관리</t>
    <phoneticPr fontId="15" type="noConversion"/>
  </si>
  <si>
    <t>무인반납기 회원 조회 오류</t>
    <phoneticPr fontId="15" type="noConversion"/>
  </si>
  <si>
    <t xml:space="preserve">평생교육원 도서관 이용자 임화수(14404020051926)님의 회원증으로
무인대출기에서 대출을 시도했을 때 기계에서 확인할 수 없는 사용자라고 뜹니다.
데스크 직원PC 케이라스에서 회원증을 찍으면 정상적으로 조회됩니다.
이런 문제가 현재까지 3번정도 발생했다고 하여 문의드립니다. </t>
    <phoneticPr fontId="15" type="noConversion"/>
  </si>
  <si>
    <t>API 로그 상으론 에러난 부분을 확인하기 어려워 장비사에서 호출한 API URL 과 결과값을 전달주시면
추가 확인하도록 하겠습니다.                                 전화안내완료 25/03/18  11:12</t>
    <phoneticPr fontId="15" type="noConversion"/>
  </si>
  <si>
    <t>PC 교체 2대 Kdevice 재설치 및 자료검색대 프린터기 연결 2대</t>
    <phoneticPr fontId="15" type="noConversion"/>
  </si>
  <si>
    <t>상호대차 획차 복구 요청</t>
    <phoneticPr fontId="15" type="noConversion"/>
  </si>
  <si>
    <t>안녕하세요, 서천도서관입니다.
대출자번호: 14401321014821
아이디:minicyy1
이름: 조예연
대출자료: EMQ000051896(소방기술사. Ⅱ), EMQ000051895(소방기술사. Ⅰ)
자료가 보이지 않아 취소 요청드렸습니다.
복구 요청드립니다.</t>
    <phoneticPr fontId="15" type="noConversion"/>
  </si>
  <si>
    <t xml:space="preserve"> 복구 완료 했습니다.</t>
    <phoneticPr fontId="15" type="noConversion"/>
  </si>
  <si>
    <t>실수로 버튼을 잘못눌러 취소처리 하였습니다..
횟수 부활 부탁드립니다..
이름: 김다한
아이디: dahankim7/     14404022006430
회원정보 확인부탁드립니다
자료: emd278542 나는 왜 남들보다 쉽게 지칠까</t>
    <phoneticPr fontId="15" type="noConversion"/>
  </si>
  <si>
    <t xml:space="preserve"> 이용자 아이디 확인 부탁드립니다.                       홈페이지가 아닌 리브로피아 에서 신청하신걸로 확인됩니다.
홈페이지에서 신청하신게 아니시면 자동적으로 횟수 복구가 되었을것으로 예상됩니다.</t>
    <phoneticPr fontId="15" type="noConversion"/>
  </si>
  <si>
    <t>비상시 국민행동요령 교육자료 팝업 게시 요청</t>
    <phoneticPr fontId="15" type="noConversion"/>
  </si>
  <si>
    <t>비상시 국민행동요령 교육자료 팝업 게시를 요청합니다.</t>
    <phoneticPr fontId="15" type="noConversion"/>
  </si>
  <si>
    <t>운영규정 수정 요청</t>
    <phoneticPr fontId="15" type="noConversion"/>
  </si>
  <si>
    <t>안녕하세요, 홍성도서관입니다.
도서관소개&gt;도서관운영규정 부분을 첨부한 파일으로 수정부탁드립니다.
감사합니다.</t>
    <phoneticPr fontId="15" type="noConversion"/>
  </si>
  <si>
    <t>남부평생교육원 홈페이지 첨부파일과 같이 수정 요청드립니다.
1. 독서문화 &gt; 독서문화행사 &gt; 세대공감 함께 책 읽기 &gt; 올해 선정도서
   2025년 올해 선정도서로 업데이트
2. 독서문화 &gt; 독서문화행사 &gt; 세대공감 함께 책 읽기 &gt; 역대 선정도서
   역대 선정도서 페이지 전체 수정(책표지 이미지 제거하고 표목록 형식으로 변경)
첨부파일을 참고해주시기 바랍니다. 감사합니다.
정유애(041-730-7724)</t>
    <phoneticPr fontId="15" type="noConversion"/>
  </si>
  <si>
    <t>영상정보처리기기 방침 이력 게시판 신설 요청</t>
    <phoneticPr fontId="15" type="noConversion"/>
  </si>
  <si>
    <t>관리자 계정으로 로그인 했을때,
기타페이지-영상정보처리기기방침 하단에
'영상정보처리기기방침 이력' 게시판을 생성하여 주시기 바랍니다..
영상정보처리기기방침이 수정될때마다 그 이력을 올릴수 있게 해주세요.
감사합니다.</t>
    <phoneticPr fontId="15" type="noConversion"/>
  </si>
  <si>
    <t>안녕하세요 주무관님
해당 작업은 신규 개발이 필요한 부분이 있어 적용하는데 약 1~2주의 시간이 소요될 것으로 예상됩니다.
최대한 빠르게 처리하도록 하겠습니다.
감사합니다.</t>
    <phoneticPr fontId="15" type="noConversion"/>
  </si>
  <si>
    <t>인사말 수정 요청</t>
    <phoneticPr fontId="15" type="noConversion"/>
  </si>
  <si>
    <t>안녕하세요?
도서관소개에서 &lt;인사말&gt; 수정 부탁드립니다.
수정자료 첨부합니다.</t>
    <phoneticPr fontId="15" type="noConversion"/>
  </si>
  <si>
    <t>횟수 부활 1회 부탁드립니다..
이름: 장서현
아이디: jshsunny</t>
    <phoneticPr fontId="15" type="noConversion"/>
  </si>
  <si>
    <t xml:space="preserve"> 횟수 복구 완료되었습니다.</t>
    <phoneticPr fontId="15" type="noConversion"/>
  </si>
  <si>
    <t>KLAS 서버</t>
    <phoneticPr fontId="15" type="noConversion"/>
  </si>
  <si>
    <t>KLAS 서버 5분정도 통신이 안됨 / 정상화 되었다가 19:00 쯤 5분정도 같은 현상</t>
    <phoneticPr fontId="15" type="noConversion"/>
  </si>
  <si>
    <t>금일 오후 16시경 있었던 장애 관련하여,
저희쪽에서 확인을 위해 서버에 접근하는 과정에서
서버 통신이 불안정함을 확인하였고, 이에 대해 충남교육청 전산쪽에 확인 요청한 결과
해당 시간대에 디도스 공격을 받아 통신이 불안정하여 발생한 문제로 파악되었다고 전달 받았습니다.
해당 공격으로 저희 서비스에서도 서버 간 통신이 불안정하여, 세션을 유지하지 못해 장애가 발생한 문제로 파악되었습니다.
감사합니다.
3/19 오전 쯤 재 확인 요청                                     오전8시50분쯤부터 9시 사이 정도까지는 통신이 불안정하였지만 그후 처리완료</t>
    <phoneticPr fontId="15" type="noConversion"/>
  </si>
  <si>
    <t>통합도서관</t>
    <phoneticPr fontId="15" type="noConversion"/>
  </si>
  <si>
    <t>KCMS 자료검색대 프린트</t>
    <phoneticPr fontId="15" type="noConversion"/>
  </si>
  <si>
    <t>저번 PC교체 후 자료검색대 설치는 완료 했지만 프린트 기기 선 문제로 연동이 안됨</t>
    <phoneticPr fontId="15" type="noConversion"/>
  </si>
  <si>
    <t>링캠 방문하여 프린트 선 교체 작업을 진행하였으며 현장방문을 통하여 KCMS와 연동 진행 처리완료</t>
    <phoneticPr fontId="15" type="noConversion"/>
  </si>
  <si>
    <t>소장자료 대출제한 관련 문의</t>
    <phoneticPr fontId="15" type="noConversion"/>
  </si>
  <si>
    <t>책과 노니는 집 CM013380 도서 1권이 소장자료상에 이용제한 구분 등 다 대출 가능하게 설정 되어 있는데
자료조회, RFID조회시 대출제한으로 되어 있고 , 도서관자료 조회에서 대출가능여부가 대출불가(등록구분제한)으로 되어 있어서
확인 부탁드립니다. 등록구분제한으로 대출불가 되어 있는 경우 어떻게 처리해야 될까요?
문의: 904-6826</t>
    <phoneticPr fontId="15" type="noConversion"/>
  </si>
  <si>
    <t>확인결과 등록구분 처음에 안들어가진걸 확인 후 등록구분을 설정하다 등록번호가 바뀌는걸 확인 후 등록번호 삭제 후 재등록과정에서 담당선생님께서 삭제를 해버림 바로바로입력시스템에서 재등록후 대출제한이 되었던이유는 자료제한설정에서 CMA 등록구분은 대출을 제한한것으로 확인됨 그래서 대출부분만 Y로 관리자계정에서 처리함</t>
    <phoneticPr fontId="15" type="noConversion"/>
  </si>
  <si>
    <t>동아리 현황 수정 요청</t>
    <phoneticPr fontId="15" type="noConversion"/>
  </si>
  <si>
    <t>남부평생교육원 홈페이지 첨부파일과 같이 수정 요청드립니다.
1. 동아리현황
첨부파일을 참고해주시기 바랍니다. 감사합니다.
조인문(041-730-7713)</t>
    <phoneticPr fontId="15" type="noConversion"/>
  </si>
  <si>
    <t>좌석예약</t>
    <phoneticPr fontId="15" type="noConversion"/>
  </si>
  <si>
    <t>웹부킹 컴퓨터 이용이 연령제한 안내 메시지 뜨면서 접속불가한 상황</t>
    <phoneticPr fontId="15" type="noConversion"/>
  </si>
  <si>
    <t>아래 어린이 이용자가 우리원의 웹부킹 pc 를 이용하려고 하는데 
연령제한이라고 뜨면서 접속이 안된다고 합니다
확인 부탁드립니다.
대출자번호:14400923010304</t>
    <phoneticPr fontId="15" type="noConversion"/>
  </si>
  <si>
    <t>당진도서관 개인정보처리방침, 영상정보처리기기 방침 수정 요청</t>
    <phoneticPr fontId="15" type="noConversion"/>
  </si>
  <si>
    <t>개인정보처리방침과 영상정보처리기기방침을 아래와 같이 수정 요청합니다.
개인정보처리방침 1: 위탁기간을 2020. 01. 01.~ 2025. 12. 31. 로 수정
개인정보처리방침 2: 개인정보보호책임자를 서은금 개인정보보호담당자를 조재호로 수정
개인정보처리방침 3: 담당자를 조재호로 수정 
영상정보처리기기방침 1: 관리책임자를 서은금 운영자를 조재호로 수정 
영상정보처리기기방침 2: 2016년 7월 6일을 -&gt; 2021년 3월 31일로 수정</t>
    <phoneticPr fontId="15" type="noConversion"/>
  </si>
  <si>
    <t>개인정보처리방침 및 영상정보처리운영방침 현행화 요청</t>
    <phoneticPr fontId="15" type="noConversion"/>
  </si>
  <si>
    <t>[홍성도서관] 개인정보처리방침 및 영상정보처리운영방침 현행화 부탁드립니다.</t>
    <phoneticPr fontId="15" type="noConversion"/>
  </si>
  <si>
    <t>알림톡</t>
    <phoneticPr fontId="15" type="noConversion"/>
  </si>
  <si>
    <t xml:space="preserve">이용자명 : 박강혁/대출자번호 : 14401921005937,이용자명 : 최여정/대출자번호 : 14401924000782 중복 발송건 </t>
    <phoneticPr fontId="15" type="noConversion"/>
  </si>
  <si>
    <t>선생님께서 전화상으로 문의 받은 상황이라 정확하게 확인이 되지않지만 처음 접수는 알림톡으로 접수 주셨지만 알림톡 상세이력 확인결과 알림톡은 한건씩 만 발송된걸로 확인됩니다. 하지만 SMS는 중복 발송이 된걸로 확인됩니다. (김민성선생님이름으로 발송 ) 문의주신 선생님과 전화 처리완료.</t>
    <phoneticPr fontId="15" type="noConversion"/>
  </si>
  <si>
    <t>마크반입</t>
    <phoneticPr fontId="15" type="noConversion"/>
  </si>
  <si>
    <t>마크 반입 후 도서 제목 입력시 도서 제목에 처음 단어가 숫자이면 입력오류가 됨</t>
    <phoneticPr fontId="15" type="noConversion"/>
  </si>
  <si>
    <t>다른 도서관 확인 결과 마크업체에 숫자를 한글로 전환하여 받는걸로 확인 됨 동양서 같은경우는 숫자가 안되므로 따로 해결 방법은 없고 선생님께서 하셨던 방법대로 숫자를 한글로 바꿨다가 숫자로 바꿔주는 것 밖에는 방법이 없음</t>
    <phoneticPr fontId="15" type="noConversion"/>
  </si>
  <si>
    <t>KLAS 로 변경</t>
    <phoneticPr fontId="15" type="noConversion"/>
  </si>
  <si>
    <t xml:space="preserve">교육정보원과 본청 행정자료실이 6월 쯤 합칠 예정 </t>
    <phoneticPr fontId="15" type="noConversion"/>
  </si>
  <si>
    <t>이사님이 전화 하여 처리하기로 함</t>
    <phoneticPr fontId="15" type="noConversion"/>
  </si>
  <si>
    <t>충청남도교육청</t>
    <phoneticPr fontId="15" type="noConversion"/>
  </si>
  <si>
    <t xml:space="preserve">SMS 발송 </t>
    <phoneticPr fontId="15" type="noConversion"/>
  </si>
  <si>
    <t>SMS 발송 이력에서 이력은 정상적으로 발송이 되었다는 문구가 나와있지만 실제로 이용자분들은 문자 수신을 받지 못 했다는 연락이옴 (3/19 서버가 불안정 하였던 시점 )</t>
    <phoneticPr fontId="15" type="noConversion"/>
  </si>
  <si>
    <t>3/19에 메시지 발송이 타임아웃으로 보내지지 않은것으로 확인됩니다. 하지만 그 이후는 제대로 발송이 된걸로 확인됩니다.</t>
    <phoneticPr fontId="15" type="noConversion"/>
  </si>
  <si>
    <t>이용자 엑셀 출력</t>
    <phoneticPr fontId="15" type="noConversion"/>
  </si>
  <si>
    <t>이용자 탭에서 이용자 관리에서 직급을 공주도서관으로 두고 정회원에 관리구분도 공주도서관으로 뒀을때 이용자 전체 선택도 되지 않고 선택하지 않은 채로 엑셀출력을 하여도 출력이 안됨 1000건이상인 경우 출력에서 확인이 되지만 확인도 안됨</t>
    <phoneticPr fontId="15" type="noConversion"/>
  </si>
  <si>
    <t>현장방문을 통하여 확인 결과 이용자분들 중에 특정기호가 들어가거나 하면 선택이 안됨 이용자 분 중 집주소가 특정기호가 들어가 있어서 출력이 안됬던걸로 확인 됨</t>
    <phoneticPr fontId="15" type="noConversion"/>
  </si>
  <si>
    <t>제61회 도서관주간 해미도서관 행사 안내
해미에서 만난 작가 이수연 북토크 모집 안내</t>
    <phoneticPr fontId="15" type="noConversion"/>
  </si>
  <si>
    <t>상호대차 차감 횟수 부활 요청</t>
    <phoneticPr fontId="15" type="noConversion"/>
  </si>
  <si>
    <t>이용자 이름: 장서현(14401520017828)                                                  평생교육원으로
상호대차를 요청하였는데
요청한 도서(너와 사는 오늘 1, 2) 1,.2권 중 2권만 보유하여 연락드리고 상호대차를 취소 해 드렸습니다.
기관사정으로 기관에서 취소했는데 그 2건에 대하여 상호대차 횟수가 차감되었다고 직접 방문하여 부활을 요청하였습니다.
확인부탁드립니다.
평생교육원/김혜연/041)629-2080</t>
    <phoneticPr fontId="15" type="noConversion"/>
  </si>
  <si>
    <t xml:space="preserve"> 확인결과 상호대차 횟수 차감이 되어있지 않은걸로 확인 됩니다.
전화처리완료.</t>
    <phoneticPr fontId="15" type="noConversion"/>
  </si>
  <si>
    <t>독서문화-독서문화 행사-나는야 독서왕
2월의 독서왕 내용을
(아동)이*현
(유아)이*범
(아동)최*안
3월의 독서왕 내용을
(아동)원*인
(아동)명*준
(유아)남*현
위와 같이 수정 부탁드립니다. 감사합니다~</t>
    <phoneticPr fontId="15" type="noConversion"/>
  </si>
  <si>
    <t>팝업게시 요청합니다. 
클릭하면 도서관주간 공지문이랑 연결되게 부탁드립니다. 
게시기간: 2025.4.30까지</t>
    <phoneticPr fontId="15" type="noConversion"/>
  </si>
  <si>
    <t>자료검색-도서관이용안내 메뉴에서 내용 수정 부탁드립니다.
[실별 이용시간 및 소개]에서 4층 열람실이 나와있는데
열람실이 폐쇄되었습니다. 
4층 열람실 줄을 삭제 부탁드립니다. 
감사합니다.</t>
    <phoneticPr fontId="15" type="noConversion"/>
  </si>
  <si>
    <t>다음의 내용으로 평생교육원 누리집 팝업 게시를 요청합니다.
1. 제목: 2025년 교육정책 및 재정 설명회
2. 내용: 붙임
3. 기간: 2025. 4. 14 09:00 ~ 2025. 05. 12. 16:00</t>
    <phoneticPr fontId="15" type="noConversion"/>
  </si>
  <si>
    <t>학생교육문화원 홈페이지 수정 요청</t>
    <phoneticPr fontId="15" type="noConversion"/>
  </si>
  <si>
    <t>안녕하세요 홈페이지 내용 수정 부탁드립니다 
첨부파일 확인해주세요</t>
    <phoneticPr fontId="15" type="noConversion"/>
  </si>
  <si>
    <t>14402120003705
김경미
baboo456
EMD195476
EMD160378
낡은 도서 상태로 인해 취소처리 해드렸습니다
2회 부활 부탁드립니다.</t>
    <phoneticPr fontId="15" type="noConversion"/>
  </si>
  <si>
    <t xml:space="preserve"> 상호대차 횟수 복구 해드렸습니다.
</t>
    <phoneticPr fontId="15" type="noConversion"/>
  </si>
  <si>
    <t>14404016006772
맹정호
tjh0125
EMD240788 나 혼자만 레벨업 6
횟수 부활 부탁드립니다</t>
    <phoneticPr fontId="15" type="noConversion"/>
  </si>
  <si>
    <t xml:space="preserve"> 상호대차 복구 되었습니다.</t>
    <phoneticPr fontId="15" type="noConversion"/>
  </si>
  <si>
    <t>도서검색</t>
    <phoneticPr fontId="15" type="noConversion"/>
  </si>
  <si>
    <t>도서에 RFID 인식 시 도서인식은 제대로 되지만 소장자료에서는 검색이 되지 않음</t>
    <phoneticPr fontId="15" type="noConversion"/>
  </si>
  <si>
    <t>도서검색후 제대로 대출되는걸로 확인됨</t>
    <phoneticPr fontId="15" type="noConversion"/>
  </si>
  <si>
    <t>시중에서 판매하지 않는 행사 도서 등록시 도서기호 생성에서 등록이 되지않음</t>
    <phoneticPr fontId="15" type="noConversion"/>
  </si>
  <si>
    <t>현장방문을 통하여 확인 결과 임의로 등록했어야되는걸로 확인됨 현장처리완료</t>
    <phoneticPr fontId="15" type="noConversion"/>
  </si>
  <si>
    <t xml:space="preserve">상호대차 </t>
    <phoneticPr fontId="15" type="noConversion"/>
  </si>
  <si>
    <t xml:space="preserve">제공도서관인 보령도서관에서 책을 잘못보낸걸로 확인됨 </t>
    <phoneticPr fontId="15" type="noConversion"/>
  </si>
  <si>
    <t>제목은 같은 책이지만 등록번호가 다른 책인걸로 확인됨 상호대차 실수로 잘못보냈을시에는 작업취소후 원복하고 다시보내는 방법뿐임 국립중앙도서관에서도 처리를해야되는일이라 리스크가 크므로 다시하는방법 뿐 (보령도서관에서 청양도서관과 전화 후 처리할 예정임)</t>
    <phoneticPr fontId="15" type="noConversion"/>
  </si>
  <si>
    <t>팝업 게시 요청드립니다~</t>
    <phoneticPr fontId="15" type="noConversion"/>
  </si>
  <si>
    <t>안녕하세요.
남부평생교육원 팝업 게시 요청드립니다.
1. 제목: [2025 세월호 참사 11주기]우리의 기억이 안전한 충남교육을 만듭니다
2. 게시내용:붙임 파일 게시
3. 게시기간: 4월 4일(금)~4월 18일(금)
감사합니다.</t>
    <phoneticPr fontId="15" type="noConversion"/>
  </si>
  <si>
    <t>개인정보처리방침 수정 요청</t>
    <phoneticPr fontId="15" type="noConversion"/>
  </si>
  <si>
    <t>개인정보 처리방침을 붙임 파일과 같이 수정요청드립니다.
그리고 하단 이력파일에도 붙임 파일 탑재 부탁드립니다.</t>
    <phoneticPr fontId="15" type="noConversion"/>
  </si>
  <si>
    <t>하단 개인정보처리방침 내용 수정
개인정보처리방침을 아래 첨부파일로 변경 부탁드립니다. 감사합니다.
아래 하단 파일 이력에도 게시 부탁드립니다!</t>
    <phoneticPr fontId="15" type="noConversion"/>
  </si>
  <si>
    <t xml:space="preserve">안녕하세요.
학생교육문화원 총무부입니다.
아래 파일 팝업게시 요청드립니다.
감사합니다.
 </t>
    <phoneticPr fontId="15" type="noConversion"/>
  </si>
  <si>
    <t xml:space="preserve">  안녕하세요 팝업게시요청드립니다.
 팝업제목:       어린이 인문학 특강 참여자 모집
 게시기간: 2025. 4. 8. ~ 4. 24 
 감사합니다.</t>
    <phoneticPr fontId="15" type="noConversion"/>
  </si>
  <si>
    <t>도서관 행사안내 달력</t>
    <phoneticPr fontId="15" type="noConversion"/>
  </si>
  <si>
    <t xml:space="preserve"> 안녕하세요 도서관 행사 안내 달력에 일정 추가 부탁드립니다.
 https://aslib.cne.go.kr/evt/selectSchdulinfoCalendar.do?menuId=MNU_0000000000000377
 12일:    &lt;도서관 주간 이수애 작가와의 만남&gt; 
                13:30~15:30 
 26일:     &lt;이음:어린이 생태 인문학 특강 '신민재'&gt; 
                13:30~15:30 
감사합니다.</t>
    <phoneticPr fontId="15" type="noConversion"/>
  </si>
  <si>
    <t>팝업 내림 요청</t>
    <phoneticPr fontId="15" type="noConversion"/>
  </si>
  <si>
    <t xml:space="preserve">  2024년 통합전자도서관 구독 전자책 안내
  부커스 전자책 이용안내
  2024 밀리의서재 전자책 구독서비스 안내
  위 3개의 팝업을 내려주세요 감사합니다. </t>
    <phoneticPr fontId="15" type="noConversion"/>
  </si>
  <si>
    <t>스마트더책 도서가 무인대출반납기에서 처리가 되지 않습니다. 왜 그런지 확인 바랍니다.</t>
    <phoneticPr fontId="15" type="noConversion"/>
  </si>
  <si>
    <t xml:space="preserve"> 제목과 같습니다. 
 확인 후 연락 바랍니다. </t>
    <phoneticPr fontId="15" type="noConversion"/>
  </si>
  <si>
    <t xml:space="preserve"> 도서관측에서 무인대출반납기 업체와 통화 후 처리완료. (채움에서 코드를 날렸을때 정상적으로 반납이 되는걸로 확인됨 장비업체쪽에 코드등록이 따로 되지 않아 그런현상으로 확인 됨)</t>
    <phoneticPr fontId="15" type="noConversion"/>
  </si>
  <si>
    <t xml:space="preserve">자료검색대 </t>
    <phoneticPr fontId="15" type="noConversion"/>
  </si>
  <si>
    <t>자료검색대 바탕화면으로 나가는 방법 문의</t>
    <phoneticPr fontId="15" type="noConversion"/>
  </si>
  <si>
    <t>자료검색대에서 바탕화면으로 나가는 방법음 1. Alt+F4  2.cucni+Enter-&gt;Alt+F4</t>
    <phoneticPr fontId="15" type="noConversion"/>
  </si>
  <si>
    <t>전화번호 이용자 검색</t>
    <phoneticPr fontId="15" type="noConversion"/>
  </si>
  <si>
    <t>이용자 휴대폰번호로 찾는법 문의</t>
    <phoneticPr fontId="15" type="noConversion"/>
  </si>
  <si>
    <t>퀵검색에서 휴대폰번호 입력으로 찾거나 휴대폰 뒷자리로 검색이 가능하며 이용자 관리에서는 상세검색하시면 휴대폰번호/SMS 수신여부 쪽에서 입력이 가능함</t>
    <phoneticPr fontId="15" type="noConversion"/>
  </si>
  <si>
    <t>안녕하세요
팝업 게시 요청합니다.
제목: 청렴 서한문
게시기간: 2025. 4. 9.~4.30.
감사합니다!</t>
    <phoneticPr fontId="15" type="noConversion"/>
  </si>
  <si>
    <t>도서관 행사 안내 달력세 일정 표시 요청</t>
    <phoneticPr fontId="15" type="noConversion"/>
  </si>
  <si>
    <t>도서관 행사 안내 달력에 일정 추가 요청드립니다. 감사합니다.
https://djlib.cne.go.kr/evt/selectSchdulinfoCalendar.do?menuId=MNU_0000000000000549
12일: &lt;도서관 주간 행사&gt; 사이다 작가와의 만남, 원데이 클래스 
23일: &lt;세계 책과 저작권의 날&gt; 책 꽃이 활짝 피었습니다
30일: &lt;문화가 있는 날&gt; 책 속에 빠진 쿠키, 온독그림책으로 꼼지락꼼지락
그리고 저희가 직접 작성할 수는 없나요?</t>
    <phoneticPr fontId="15" type="noConversion"/>
  </si>
  <si>
    <t>안녕하세요 주무관님
도서관 관리자가 행사 일정 추가 가능합니다.
1. 관리자 계정 로그인 후 관리자페이지(https://lib.cne.go.kr/mng/index.do) 접속
2. 도서관행사-도서관행사관리 메뉴에서 '등록하기' 버튼 클릭
3. 정보 입력 후 '등록' 버튼을 눌러 완료
감사합니다.</t>
    <phoneticPr fontId="15" type="noConversion"/>
  </si>
  <si>
    <t>홈페이지</t>
  </si>
  <si>
    <t>홈페이지 수정 요청</t>
  </si>
  <si>
    <r>
      <t>안녕하세요.
학생교육문화원 총무부입니다.
홈페이지 수정 요청드립니다.
****파란색 글씨는 수정되는 것을 편의상 표시한 것으로 홈페이지에서는 파란색 글씨로 표시하지 말아주세요***
----------------------------------------------------
&lt;1번&gt;
https://chsl.cne.go.kr/msi/indvdlInfoPolicy.do
페이지에서
제3조의 위탁기간 변경
(변경전) 2023.01.01. ~ 2023.12.31.
(변경후) 2025.01.01. ~ 2025.12.31.
----------------------------------------------------
&lt;2번&gt;
https://chsl.cne.go.kr/msi/indvdlInfoPolicy.do
페이지에서
제7조 책임자, 담당자 이름변경
(변경전) 배지현
(변경후) 이정삼
(변경전) 김희래
(변경후) 박현명
----------------------------------------------------
&lt;3번&gt;
https://chsl.cne.go.kr/msi/indvdlInfoPolicy.do
페이지에서
제8조 담당자 이름변경
(변경전) 김희래
(변경후) 박현명
----------------------------------------------------
&lt;4번&gt;
https://chsl.cne.go.kr/msi/indvdlInfoPolicy.do
페이지에서
제10조 일부변경 
(변경전)
① 본 방침은 2023년 1월 5일 사전공지되며, 2023년 1월 12일부터 시행됩니다.
(변경후) 
① 본 방침은 2025년 4월 9일 사전공지되며, 2025년 4월 16일부터 시행됩니다.
----------------------------------------------------
&lt;5번&gt;
총괄관리자로 로그인 했을떄(chsladmin)
https://chsl.cne.go.kr/msi/indvdlInfoPolicy.do
페이지에 있는
맨 아래의 게시판 글올리는것이 안됨 / 수정, 삭제는 됨...
여기 게시판에 아래 첨부파일을 올리고 싶음.
&lt;6번&gt;
https://chsl.cne.go.kr/msi/imageryIntelligence.do
에서
3. 관리책임자 및 접근권한자에서 변경
(변경전)
구분/이름/직위/소속/연락처
총괄관리책임자/배지현/총무부장/총무부/041-904-8441
예술교육관관리책임자/김석봉/예술진흥부장/예술진흥부/ 041-904-6841
도서관관리책임자/이인하/문헌정보부장/문헌정보부/041-904-6831
접근권한자/김희래/주무관/총무부/041-904-8458
접근권한자/최인성/주무관/문헌정보부/041-904-6836
접근권한자/최인성/주무관/문헌정보부/041-904-6836
모니터요원/홍명화/주무관/총무부/041-904-8446
(변경후)
구분/이름/직위/소속/연락처
총괄관리책임자/이정삼/총무부장/총무부/041-904-8441
예술교육관관리책임자/박용미/예술진흥부장/예술진흥부/ 041-904-6841
도서관관리책임자/이인하/문헌정보부장/문헌정보부/041-904-6831
접근권한자/박현명/주무관/총무부/041-904-8458
접근권한자/문소윤/주무관/문헌정보부/041-904-6836
모니터요원/홍명화/주무관/문헌정보부/041-904-6825
----------------------------------------------------
&lt;7번&gt;
https://chsl.cne.go.kr/msi/imageryIntelligence.do
에서
8. 개인정보 처리방침 변경에 관한 사항 부분 변경
(변경전)
이 방침은 2023년 1월 5일 사전 공지되고 2023년 1월 12일자로 개정되는 방침입니다.
(변경후)
이 방침은 2025년 4월 9일 사전 공지되고 2025년 5월 16일자로 개정되는 방침입니다.
----------------------------------------------------
&lt;8번&gt;
https://chsl.cne.go.kr/msi/imageryIntelligence.do
에서
9. 시행일 부분 변경 가~하를 삭제한후 변경 후로  
(변경전)
가. 이 방침은 2013. 1. 11. 부터 시행한다.
나. 이 방침은 2015. 4. 6. 부터 시행한다.
(하 까지 써져있음)
(변경후)
가. 이 방침은 2025. 4. 16. 부터 시행됩니다.
나. 영상정보처리기기 운영</t>
    </r>
    <r>
      <rPr>
        <sz val="14"/>
        <rFont val="Tahoma"/>
        <family val="3"/>
        <charset val="1"/>
      </rPr>
      <t>․</t>
    </r>
    <r>
      <rPr>
        <sz val="14"/>
        <rFont val="돋움"/>
        <family val="3"/>
        <charset val="129"/>
      </rPr>
      <t>관리방침은 아래 ‘이력보기’에서 확인하실 수 있습니다.
시행일 박스 아래에(글씨가 써진 박스 안에 말고 글씨가 써진 박스 밖에) 별도 게시판 요청드림 
**https://chsl.cne.go.kr/msi/indvdlInfoPolicy.do 페이지의 맨 아래 처럼 별도 게시판 요청드림**
----------------------------------------------------
&lt;9번&gt;
저작권정책 | 충청남도교육청학생교육문화원  에서
박스 안에 
(변경전) 충청남도교육청 학생교윤문화원
(변경후) 충청남도교육청 학생교육문화원
문의시
이 글 제목에 표시해주시거나
아니면 041-904-8458(총무부 박현명)으로 전화부탁드리겠습니다~!
감사합니다~!</t>
    </r>
    <phoneticPr fontId="11" type="noConversion"/>
  </si>
  <si>
    <t>처리완료</t>
  </si>
  <si>
    <t>안녕하세요 주무관님
요청사항 5번은 관리자페이지에서 글 작성 가능합니다.
1. 관리자계정 로그인 후 관리자페이지(https://lib.cne.go.kr/mng/index.do) 접속
2. 게시판관리-게시판관리 메뉴 접속
3. '개인보호정책 이력보기' 게시판의 '게시글 관리' 버튼 클릭
4. '글쓰기'버튼을 통해 글 작성 및 첨부파일 게시 가능
5. 글 작성 후 최하단의 '등록'버튼을 눌러 완료
위의 단계를 참고하여주시기 바랍니다.
감사합니다.</t>
    <phoneticPr fontId="11" type="noConversion"/>
  </si>
  <si>
    <t>학생교육문화원</t>
  </si>
  <si>
    <t>전화문의</t>
  </si>
  <si>
    <t>KLAS 로그인 실패 및 홈페이지 원콜지원센터</t>
  </si>
  <si>
    <t>KLAS 에서 충남시스템관리자 , 통합도서관 아이디가 접속이 되지 않음 또한 홈페이지에서 선생님 계정으로 로그인시 원콜지원센터가 보이지 않음</t>
  </si>
  <si>
    <t>KLAS 로그인 실패에 대해서는 초기화 진행을 도와드렸으나 지속적인 로그인 실패 채움쪽에 미리 전화하여 혹시 아이디에 대해 따로 권한이 있는지 여쭈어봤으나 따로 권한은 없다는 답변을 받아 원격연결로 도와드림.또한 통합도서관 아이디가 원콜이 보이지 않는이유는 선생님계정에 따로 관리자 권한이 없었기때문에 안보였던걸로 확인됨 전 주무관님께 따로 인수인계가 되지 않았던걸로 확인되며, 충남교육청 홈페이지아이디는 cneadmin으로 확인됨/ 홈페이지 아이디도 함께 초기화하여 처리완료</t>
    <phoneticPr fontId="11" type="noConversion"/>
  </si>
  <si>
    <t>충청남도교육청</t>
  </si>
  <si>
    <t>팝업 게시 요청</t>
  </si>
  <si>
    <t xml:space="preserve">안녕하세요
어제 팝업 요청드리고 처리상태는 '완료' 라고 되어 있으나
팝업 게시 되지 않아 다시 게시 요청드립니다.
확인 부탁드립니다.
감사합니다.
제목: 청렴 서한문
게시기간: 2025. 4. 10. ~ 4. 30.
 </t>
  </si>
  <si>
    <t>유구도서관</t>
  </si>
  <si>
    <t>팝업 내림 요청</t>
  </si>
  <si>
    <t>안녕하세요.
학생교육문화원 총무부입니다.
알립니다 팝업에서
2025년 교육정책 및 재정 설명회 안내 &lt;- 이것 삭제 부탁드립니다! 
감사합니다~!</t>
  </si>
  <si>
    <t>KLAS 로그인 접속 실패</t>
  </si>
  <si>
    <t>KLAS에서 비밀번호 초기화를 해도 로그인 시도시 로그인이 안되면 통합홈페이지 또한 비밀번호 재설정을 하여도 되지 않음</t>
  </si>
  <si>
    <t>비밀번호 초기화가 되어도 로그인이 제대로 이루어지지않아 원격연결로 도와드렸으며, 홈페이지 또한 함께 설명드리며, 전자도서관사용법과 Dbpia 접속에 대한 설명 및 회원가입을 따로 진행하여야되는 부분에 대해 설명드림</t>
    <phoneticPr fontId="11" type="noConversion"/>
  </si>
  <si>
    <t>서천도서관</t>
  </si>
  <si>
    <t>정기방문</t>
  </si>
  <si>
    <t>정기점검 방문</t>
  </si>
  <si>
    <t>정기 점검하였으나 이상 없음</t>
  </si>
  <si>
    <t>금산도서관</t>
  </si>
  <si>
    <t>컴퓨터 교체</t>
  </si>
  <si>
    <t>25/04/16 오전 중 2층 종합자료실 PC 2대 교체 작업 실시 예정 ( Kdevice 2대 설치 요청) 장비 업체는 &lt;링캠&gt;</t>
  </si>
  <si>
    <t>링캠 방문이 10시 이며, 작업시간은 1시간 30분정도 소요 예정이라고 전달 PC 교체 후 바로 링캠에서 먼저 작업 함  선생님 PC 이슈로 인하여 한대만 교체작업 진행해드림 추후 한대 더 설치할 예정</t>
  </si>
  <si>
    <t>메뉴위치 변동과 내용 수정</t>
    <phoneticPr fontId="15" type="noConversion"/>
  </si>
  <si>
    <t xml:space="preserve"> 안녕하세요 
 1. 아래 첨부파일1 처럼 이용안내 메뉴 하단에 있는  도서관 견학을 프로그램안내 2번째 위치에 이동하여주시기 바랍니다.
 2. 도서관 견학 내용을 아래 한글 첨부파일2 처럼 변경 부탁드립니다.
 3. 행사 일정안내에 26일 인문학특강에 인문학특강 안내문 사진을 첨부하여 주시기 바랍니다.
    행사 일정안내 직접 등록할 수 없는지 당진도서관에서 질의주셔서 답변주신대로 해봤는데 관리자페이지에 접속이 안되고 평소 일반 누리집으로 접수됩니다. (첨부파일3)
    직접등록할 수 있게 방법 알려주시면 감사드리겠습니다.
 4. 도서관행사 달력 4월 26일 인문학 특강 강연 안내문 첨부부탁드립니다.( 첨부파일 4)
  https://aslib.cne.go.kr/evt/selectComtnschdulinfo.do?schdulId=EVENT_00000000000959&amp;searchYear=2025&amp;searchMonth=3&amp;mode=1&amp;menuId=MNU_0000000000000377&amp;siteId=SITE_000000000000011 </t>
    <phoneticPr fontId="15" type="noConversion"/>
  </si>
  <si>
    <t>안녕하세요 주무관님.
1. 아산도서관 관리자 페이지 접속(https://aslib.cne.go.kr/mng/index.do)
2. 도서관행사-도서관행사관리 메뉴에서 '등록하기' 버튼 클릭
3. 정보 입력 후 '등록' 버튼을 눌러 완료
위 방법으로 시도해 보시기 바랍니다.
추가 문의사항 있을 시 글 남겨주세요.
감사합니다.</t>
    <phoneticPr fontId="15" type="noConversion"/>
  </si>
  <si>
    <t>자가반납기 통계</t>
    <phoneticPr fontId="15" type="noConversion"/>
  </si>
  <si>
    <t>학생교육문화원에 링캠쪽 문의를 드렸고 링캠에서 채움에 다이렉트로 요청하였지만 비젼의 통하여 접수를 받을수 있다고 답변이 와 링캠에서 연락옴</t>
    <phoneticPr fontId="15" type="noConversion"/>
  </si>
  <si>
    <t>메일과 전화로 채움에 요청하였고 이미 미리 통계를 뽑아 놓은 상태로 바로 답변을 받고 권지은 선생님께 회신드림</t>
    <phoneticPr fontId="15" type="noConversion"/>
  </si>
  <si>
    <t>통계</t>
    <phoneticPr fontId="15" type="noConversion"/>
  </si>
  <si>
    <t>총 회원수는 늘고 있는데, 어린이/청소년/성인 간에 수는 주 별로 회원 수가 늘었다 줄었다 하는데 왜그런지 이유를 알고 싶습니다. 특히 줄었다면 정확한 이유가 뭔지 알고 싶습니다.</t>
    <phoneticPr fontId="15" type="noConversion"/>
  </si>
  <si>
    <t>확인 결과 합계가 줄어들지 않고 늘어나는걸로 봐서는 선생님들이 직급 수정이 하여 변동이 일어나고 있는것 같습니다. 성인이 계속 늘어 나고 있는걸로 봐서는 직급이 어린이거나 청소년이 었던 회원이 성인이 되면서 수정이 되었던걸로 확인됩니다. 또한 성인이 회원이 도서관 방문을 하여 회원가입하며 늘어놨던걸로 확인 됩니다. 전화 처리완료</t>
    <phoneticPr fontId="15" type="noConversion"/>
  </si>
  <si>
    <t>홈페이지 메뉴 신설 요청 문의</t>
    <phoneticPr fontId="15" type="noConversion"/>
  </si>
  <si>
    <t xml:space="preserve"> 안녕하세요
 평생교육원 홈페이지의 메뉴를 하나 추가하고 싶습니다.
 '독서문화-학교지원프로그램'의 하위 메뉴로 '독후활동자료집' 이라는 메뉴를 추가하여,
  독후활동 자료집 파일을 이용자들이 자유롭게 내려받을 수 있게 하고 싶습니다.
  그런데 이용자들이 다운받을 파일이 217mb의 용량이라, 현재 이 페이지에서는 첨부가 되지 않습니다.
  대용량 파일은 어떻게 첨부하면 될까요??
  답변 부탁드리겠습니다.
  감사합니다.</t>
    <phoneticPr fontId="15" type="noConversion"/>
  </si>
  <si>
    <t>파일 삭제 부탁드립니다.</t>
    <phoneticPr fontId="15" type="noConversion"/>
  </si>
  <si>
    <t>*문의내용: 2024년 9월 손길 강의확인서, 출석부 비공개 요청
  -구글에 "새금산공부방지역아동센터 손길" 검색 시 손길 9월 강의확인서출석부 공개되어있음
*기관명: 새금산공부방지역아동센터 
* 평생교육- 관련서식 란에 손길 9월 강의확인서, 출석부를 올린파일이 - 구글에서 검색이 됩니다. 삭제 부탁드립니다. 
자꾸 새금산공부방에서 항의 전화가 옵니다. (저희는 삭제를 시켰는데도 구글에서 뜸니다.) 
평생학습부 조인문 드림.
041-730-7713</t>
    <phoneticPr fontId="15" type="noConversion"/>
  </si>
  <si>
    <t>누리집 메인화면 글씨 위치 변동 요청</t>
    <phoneticPr fontId="15" type="noConversion"/>
  </si>
  <si>
    <t xml:space="preserve">  안녕하세요 아산도서관 누리집 메인화면에 도서관 건물 사진과 글씨가 겹쳐있습니다.
  글씨를 왼쪽으로 이동시켜 주시기 바랍니다(첨부파일 참고), 분홍색 네모 위치
  감사합니다.</t>
    <phoneticPr fontId="15" type="noConversion"/>
  </si>
  <si>
    <t>누리집 영상정보처리기기 방침 수정</t>
    <phoneticPr fontId="15" type="noConversion"/>
  </si>
  <si>
    <t>우리 평생교육원 누리집 영상정보처리기기 방침을 붙임의 내용으로 수정하여 주시기 바랍니다..</t>
    <phoneticPr fontId="15" type="noConversion"/>
  </si>
  <si>
    <t>안녕하세요. 누리집 팝업 게시 요청드립니다.
제목: ★2025년 5월 가정의 달 행사 안내(공연, 체험)★
게시기한: 2025.5.2.(금)까지</t>
    <phoneticPr fontId="15" type="noConversion"/>
  </si>
  <si>
    <t xml:space="preserve">장서점검데이터 </t>
    <phoneticPr fontId="15" type="noConversion"/>
  </si>
  <si>
    <t>장서점검을 실시할 예정으로 전체소장자료 데이터 요청 21일 오전에 요청함</t>
    <phoneticPr fontId="15" type="noConversion"/>
  </si>
  <si>
    <t>21일 오전 9시경에 메일로 회신드림</t>
    <phoneticPr fontId="15" type="noConversion"/>
  </si>
  <si>
    <t>관리자 계정에서 이용자 작업이력</t>
    <phoneticPr fontId="15" type="noConversion"/>
  </si>
  <si>
    <t>관리자 계정에서 이용자 작업이력 조회시 IP주소가 null 나오는 현상 및 소속도서관이 적히지 않는 이유</t>
    <phoneticPr fontId="15" type="noConversion"/>
  </si>
  <si>
    <t>확인결과 홈페이지에서 개인정보 수정으로 비밀번호 변경시 비밀번호 변경이 아닌 개인정보 수정으로 확인 되며 리브로피아에서 비밀번호 변경시에는 작업이력이 남질 않는다 하지만 패스워드 찾기로 비밀번호 변경시에는 IP주소가 null 이며, 작업도서관은 미등록으로 확인됨 채움에서는 확인이 불가능한 상황이며, IP 주소가 null로 나오는 이유는 패스워드 찾기로 진행 하였기 때문으로 확인됨</t>
    <phoneticPr fontId="15" type="noConversion"/>
  </si>
  <si>
    <t>장서점검을 위한 장서 데이터 요청</t>
    <phoneticPr fontId="15" type="noConversion"/>
  </si>
  <si>
    <t>안녕하세요 공주도서관입니다.
장서점검 계획 수립과 사전 준비 위한 도서 UID를 포함한 장서정보를 요청드립니다.
등록번호, 청구기호, 도서명, 저자명, 발행자, 발행년도, 자료실, 자료상태 등의 정보를 부탁드립니다.
메일: kj-lib@cne.go.kr
이후에도 5월 초(최종 확인용), 5월 19일(대출현황 조사용)에 두 번 정도 다시 요청드릴 예정입니다.
감사합니다.</t>
    <phoneticPr fontId="15" type="noConversion"/>
  </si>
  <si>
    <t>요청주셨던 25/04/23 기준의 장서점검 데이터를 메일로 보내드렸습니다. 
추후 재요청시 전화 부탁드립니다.                         -  기관메일로 보내드림</t>
    <phoneticPr fontId="15" type="noConversion"/>
  </si>
  <si>
    <t>개인정보 위탁에 대한 보안교육</t>
    <phoneticPr fontId="15" type="noConversion"/>
  </si>
  <si>
    <t>개인정보 위탁에 대한 보안교육에 대한 보안 교육 및 서명 요청</t>
    <phoneticPr fontId="15" type="noConversion"/>
  </si>
  <si>
    <t>도교육청과의 계약을 맺고 있으며, 연초에 도교육청에 보안교육 후 서명자료 제출하였다고 답변  몇 다른 도서관은 저희 회사를 포함 시키지 않는걸로 확인 혹시 필요하다면 방문드려 사인해드림 현재는 필요없는 상황 다른도서관과 확인 후 재요청</t>
    <phoneticPr fontId="15" type="noConversion"/>
  </si>
  <si>
    <t>동아리 추가 요청</t>
    <phoneticPr fontId="15" type="noConversion"/>
  </si>
  <si>
    <t>남부평생교육원 홈페이지 첨부파일과 같이 추가 요청드립니다.
-요번에 동아리반이 한개 추가 되어서 추가 부탁드립니다. -민화반
1. 동아리현황
첨부파일을 참고해주시기 바랍니다. 감사합니다.
조인문(041-730-7713)</t>
    <phoneticPr fontId="15" type="noConversion"/>
  </si>
  <si>
    <t>희망도서 구입 통계</t>
    <phoneticPr fontId="15" type="noConversion"/>
  </si>
  <si>
    <t>원부 관리에서 희망 도서인지 신간도서인지 제목 수정이 가능한지에 대해 문의</t>
    <phoneticPr fontId="15" type="noConversion"/>
  </si>
  <si>
    <t>원부 출력에서 원부 출력시 제목을 변경 할 수 있는 부분이 있어서 해결완료</t>
    <phoneticPr fontId="15" type="noConversion"/>
  </si>
  <si>
    <t>모바일 홈페이지</t>
    <phoneticPr fontId="15" type="noConversion"/>
  </si>
  <si>
    <t>자료 제출에서 모바일 앱과 모바일 홈페이지 증빙에 대하여 문의</t>
    <phoneticPr fontId="15" type="noConversion"/>
  </si>
  <si>
    <t>모바일 앱은 리브로피아 모바일 홈페이지는 따로 있는것이 아니라 홈페이지를 모바일로 접속하게 되면 그게 모바일 홈페이지 인걸로 따로 모바일 홈페이지가 있지는 않음</t>
    <phoneticPr fontId="15" type="noConversion"/>
  </si>
  <si>
    <t>이사님 문의 상호대차를 대출 도서관이 아닌 제공 도서관으로 반납이 가능한지에 대해 문의</t>
    <phoneticPr fontId="15" type="noConversion"/>
  </si>
  <si>
    <t>도서관에서 가능은 하지만 제공 도서관과의 따로 전화를 해야되며 그렇게 하지는 않음</t>
    <phoneticPr fontId="15" type="noConversion"/>
  </si>
  <si>
    <t>개인정보처리방침,영상정보처리기기방침 수정 요청</t>
    <phoneticPr fontId="15" type="noConversion"/>
  </si>
  <si>
    <t xml:space="preserve">개인정보처리방침: 첨부파일과 같이 수정 부탁드립니다. 
영상정보처리기기방침: 첨부파일과 같이 수정 부탁드립니다. </t>
    <phoneticPr fontId="15" type="noConversion"/>
  </si>
  <si>
    <t>신설도서관 이름 공모 팝업 게시 요청</t>
    <phoneticPr fontId="15" type="noConversion"/>
  </si>
  <si>
    <t xml:space="preserve">[초등특수교육과] 신설도서관 이름 공모 팝업 게시 요청드립니다. 
팝업 등록 관리자 페이지 접속했는데 오류가 떠서 요청드립니다. 
 팝업내용: [붙임] 이미지 파일 
 팝업페이지: [붙임] 통합전자도서관 "알립니다" 
 월요일 까지 부탁드립니다. 
 640-6753 </t>
    <phoneticPr fontId="15" type="noConversion"/>
  </si>
  <si>
    <t>2층 종합자료실 PC 교체</t>
    <phoneticPr fontId="15" type="noConversion"/>
  </si>
  <si>
    <t>2층 종합자료실 백인솔선생님 자리 PC 교체 KLAS접속이 불가하며, Kdevice재설치 요청</t>
    <phoneticPr fontId="15" type="noConversion"/>
  </si>
  <si>
    <t>KLAS 주소가 cucon으로 되어있어서 로그인이 진행이 되지않았던걸로 확인됨, 주소 재입력후 정상 로그인 확인 Kdevice 재설치 현장방문을 통하여 처리완료</t>
    <phoneticPr fontId="15" type="noConversion"/>
  </si>
  <si>
    <t>나머지 PC 교체가 있어 한대 더 재설치 도와드렸으며, 추후 KCMS PC도 교체 예정 일정은 나오는대로 안내주시기로 함</t>
    <phoneticPr fontId="15" type="noConversion"/>
  </si>
  <si>
    <t>프린트기는 링캠에서 납품한걸로 확인되어 프린트기는 링캠에서 드라이브 잡아주시기로함</t>
    <phoneticPr fontId="15" type="noConversion"/>
  </si>
  <si>
    <t>일반과 아동자료실에 있는 도서들을 자료실 이동하여 온독도서로 옮길려고 하였으나 관리자에게 문의하세요 라는 문구와 함께 자료실이동이 안됨</t>
    <phoneticPr fontId="15" type="noConversion"/>
  </si>
  <si>
    <t>확인결과 사서제한 또는 대출중중인 도서도 자료실 이동은 정상적으로 되는걸로 확인되며, 코드 K404 로 되어있는 온독도서와 코드 없이 온독도서ㅣ온독도서 라는 자료실 두가지가 있는걸로 확인됨 코드가 없이 한글로 되어있는 자료실은 사용이 불가능하며 코드 있는 온독도서는 이상없이 자료실 이동이 가능한걸로 확인된다. 담당선생님과 전화로 설명드려 처리완료.</t>
    <phoneticPr fontId="15" type="noConversion"/>
  </si>
  <si>
    <t>상호대차 도서 반납 처리</t>
    <phoneticPr fontId="15" type="noConversion"/>
  </si>
  <si>
    <t>안녕하세요.
금산도서관입니다.
EMN000098835 (내 친구 똥퍼) 이 책을 반납처리하려고 합니다.
위의 상호대차 제공했던 도서를 택배로 반납 받았습니다.
복귀처리를 하려고 했는데, 해당 도서가 복귀자료 목록에 없습니다.
대출자를 검색하려고 해도 검색이 되질 않아 문의드립니다.</t>
    <phoneticPr fontId="15" type="noConversion"/>
  </si>
  <si>
    <t>전화 처리완료.
확인결과 대출도서관에서 발송처리가 되지 않아 복귀 자료에 없었던걸로 확인됩니다.
현재 발송처리 되었습니다. 복귀자료에서 확인 가능하오니 복귀 처리하시면 됩니다.</t>
    <phoneticPr fontId="15" type="noConversion"/>
  </si>
  <si>
    <t xml:space="preserve"> 안녕하세요 팝업 게시 부탁드립니다.
 팝업제목: 5월 휴관안내
 게시기간: 4.29.~ 5.6</t>
    <phoneticPr fontId="15" type="noConversion"/>
  </si>
  <si>
    <t>개인정보 초기화</t>
    <phoneticPr fontId="15" type="noConversion"/>
  </si>
  <si>
    <t>이용자 정보에서 개인정보 초기화를 실수를 눌렸지만, 재인증 선택시 마이핀 인증만 확인됨 혹시 핸드폰 인증은 어떻게 할 수 있는지</t>
    <phoneticPr fontId="15" type="noConversion"/>
  </si>
  <si>
    <t>KLAS에서 인증은 휴대전화 인증이 아닌 마이핀인증만 가능함 하지만 휴대폰 본인인증을 원하실 경우에는 자료검색대 PC 인 KCMS 에서 로그인시 본인인증 팝업이 따로 표시가 됨 그때 확인 버튼을 누르시면, 휴대폰 인증이 확인되므로 자료검색대에서 본인인증을 재인증 해주시면 됩니다. 전화로 처리완료</t>
    <phoneticPr fontId="15" type="noConversion"/>
  </si>
  <si>
    <t>KCMS 자료 검색대</t>
    <phoneticPr fontId="15" type="noConversion"/>
  </si>
  <si>
    <t>1층 어린이자료실, 2층 종합자료실 자료검색대 pc 교체 작업 및 2층 종합자료실 회원가입 PC ,시각장애인PC 총 4대 교체 진행</t>
    <phoneticPr fontId="15" type="noConversion"/>
  </si>
  <si>
    <t>자료검색대 2대와 회원가입 1대 이렇게 총 3대 설치 도와드릴 예정 시각장애인 PC 는 웹부킹이 따로 되어 있지않아 회원가입은 주소만 맞춰줄 예정이고 자료검색대는 링캠이 드라이브 설치하는대로 바로 진행할 예정 /현장방문으 통하여 홈페이지와 자료검색대 설치는 완료되었지만 프린트 드라이버 설치과정에서 문제가 발생하여 현재 자료검색대 자료위치 출력은 따로 안되는 중</t>
    <phoneticPr fontId="15" type="noConversion"/>
  </si>
  <si>
    <t>안녕하세요. 
학생교육문화원 총무부입니다.
아래 첨부파일을
알립니다 팝업에
5월 5일까지 게시 요청드립니다.
감사합니다.</t>
    <phoneticPr fontId="15" type="noConversion"/>
  </si>
  <si>
    <t xml:space="preserve"> 어린이날 팝업 게시 요청</t>
    <phoneticPr fontId="15" type="noConversion"/>
  </si>
  <si>
    <t>어린이날 팝업 게시를 붙임의 자료로 요청합니다.기간: 2025. 5. 5. 까지</t>
    <phoneticPr fontId="15" type="noConversion"/>
  </si>
  <si>
    <t>상호대차 중지 및 반납예정일 일괄 변경 요청</t>
    <phoneticPr fontId="15" type="noConversion"/>
  </si>
  <si>
    <t>안녕하세요, 공주도서관입니다.
도서관 장서점검으로 인한 상호대차 중지를 요청합니다.
○ 중지기간: 5. 16.(월) 오전 ~ 5. 26.(월) 오전
그리고 장서점검 기간 중 반납예정일을 일괄 5월 26일로 변경하는 것을 요청드리고 싶습니다.
(대출 중인 책을 반납 연장했을 때와 앞으로 대출했을 때 포함)
감사합니다.</t>
    <phoneticPr fontId="15" type="noConversion"/>
  </si>
  <si>
    <t xml:space="preserve"> 상호대차 중지는 요청 주신 날짜에 진행될 예정이며,
 장서점검기간인 5월16일-25일을 휴관일 설정 해 두시면 반납예정일이 5월16일-25일로 부여되어야 하는 자료의 반납예정일이 휴관일 다음 날인 26일로 부여됩니다. 
 이미 반납예정일이 5울16일-25일로 부여된 자료는 
 대출반납&gt;대출반납관리&gt;대출관리에서 반납예정일 5월16일-5월25일로 검색 후 전체선택 하단에 수정버튼 클릭 후 반납예정일만 5월26일로 수정해주시면 됩니다. </t>
    <phoneticPr fontId="15" type="noConversion"/>
  </si>
  <si>
    <t>상호대차 취소건 횟수 복구 요청</t>
    <phoneticPr fontId="15" type="noConversion"/>
  </si>
  <si>
    <t>ID poppoly83
정은선
EMH000196374
빨간 내복의 코딱지히어로,3 각양각색 동물의 분류
상호대차 취소로인해 횟수 복구요청합니다.</t>
    <phoneticPr fontId="15" type="noConversion"/>
  </si>
  <si>
    <t xml:space="preserve"> 상호대차 횟수 복구 처리완료 되었습니다.</t>
    <phoneticPr fontId="15" type="noConversion"/>
  </si>
  <si>
    <t>소급통계-소장통계 수치</t>
    <phoneticPr fontId="15" type="noConversion"/>
  </si>
  <si>
    <t>안녕하세요. 금산도서관 오주환입니다.
소급통계 - 소장통계에서 (통계날짜 2025-04-02)
종합자료실 자료가 -1이 된 것이 있는데, 이게 무엇 때문인지 확인이 안됩니다.
소장자료에서 배가변경한 기록이 없습니다.
제가 신간도서 148건을 배가하였지만, 소급 통계상 증감 내역은 147건이 된 것으로 나옵니다.
업무일지의 통계 수치를 맞추기 위하여 요청드립니다.</t>
    <phoneticPr fontId="15" type="noConversion"/>
  </si>
  <si>
    <t xml:space="preserve">전화 처리완료
확인결과 제적자료로 한권이 코드 변경이 되었던걸로 확인됩니다.
열람 - 소장자료관리 - 상세검색에서 코드적용한함 후 자료상태는 제적자료 / 코드변경일 자료상태 250401~250402 조건으로 검색하였을때, 한권이 도서가 뜨는걸로 확인됩니다.
도서 선택 후 코드변경이력 확인하시면 제적자료로 변경된 이력을 확인 하실 수 있습니다. </t>
    <phoneticPr fontId="15" type="noConversion"/>
  </si>
  <si>
    <t>문자문의</t>
    <phoneticPr fontId="15" type="noConversion"/>
  </si>
  <si>
    <t>연체자 알림</t>
    <phoneticPr fontId="15" type="noConversion"/>
  </si>
  <si>
    <t>안녕하세요 선생님~ 학생교육문화원 권지은 입니다. 저녁늦게 연락드려 죄송합니다. KLAS에 휴관일 설정이 5.4~5.6.까지 잘 되어있었는데 5.5. 등 휴관일 기간에 반납예정이 걸리신 분들이 너무 많아 오늘 오전에 일괄 변경은 하였으나, 5.5등 휴관일에 연체문자,알림톡을 받으신 이용자분들이 연락을 많이 하셔서 휴관일을 걸면 원래 자동으로 반납일이 연장되어야 되는걸로 알고 있는데, 이 내용 확인하시면 내일 오전중으로 연락부탁드립니다~</t>
    <phoneticPr fontId="15" type="noConversion"/>
  </si>
  <si>
    <t>확인결과 1월에 모든 휴관일이 지정이 되지 않았던걸로 확인됨 4월27일에서 28일쯤에는 휴관일이 지정이 되어있지않아 4월28일에 대출하신 이용자분들이 대출후 연기신청을 하여 5월5일에 반납예정일이 되어 반납안내 알림톡과 SMS발송이 되었던걸로 확인됨 휴관일 지정에 대한 내용은 데이터가 너무 많다보니 최근작업이 아닌이상 확인이 불가하며,어떤작업이었는지에대한 자세한 내용은 확인이 불가능하다</t>
    <phoneticPr fontId="15" type="noConversion"/>
  </si>
  <si>
    <t>정보수정 요청</t>
    <phoneticPr fontId="15" type="noConversion"/>
  </si>
  <si>
    <t>안녕하세요.
개인정보처리방침 제7조 성명 및 연락처 수정 부탁드립니다.
1. 개인정보 보호책임자: 박0희 / 041-541-1020
2. 개인정보 보호담당자: 이0희 / 041-541-1025
감사합니다.</t>
    <phoneticPr fontId="15" type="noConversion"/>
  </si>
  <si>
    <t xml:space="preserve">제7조 개인정보보호 담당자를 
정보보안담당자 -&gt; 개인정보보호담당자로 수정 부탁드립니다. </t>
    <phoneticPr fontId="15" type="noConversion"/>
  </si>
  <si>
    <t>도서 검색</t>
    <phoneticPr fontId="15" type="noConversion"/>
  </si>
  <si>
    <t xml:space="preserve">k-las 메인 화면에서 바로 도서 검색시 책이 안나와요,,,
열람-소장자료관리에 들어가서  검색하면 나오는데,
확인 좀 부탁드리겠습니다. </t>
    <phoneticPr fontId="15" type="noConversion"/>
  </si>
  <si>
    <t>등록정보 형식구분이 지도자료로 되어있어 비도서로 등록이 되었던걸로 확인됩니다. 비도서 검색시에 검색이 잘 나오고 있고 이도서가 비도서가 아니라면 도서로 형식구분을 바꿔주셔야 도서검색시에도 잘 나올것으로 확인됨 전화 처리완료</t>
    <phoneticPr fontId="15" type="noConversion"/>
  </si>
  <si>
    <t>장서점검 데이터 요청</t>
    <phoneticPr fontId="15" type="noConversion"/>
  </si>
  <si>
    <t>공주도서관에서 장서점검을 실시할 예정 입니다.
장서점검 계획 수립과 사전 준비를 위한 도서 UID를 포함한 장서정보를 요청드립니다.
등록번호, 청구기호, 도서명, 저자명, 발행자, 발행년도, 자료실, 자료상태 등의 정보를 부탁드립니다.
25/05/12 오전 9시 기준으로  오늘 오전중으로 회신 부탁드립니다.
추후 25/05/19 최종으로 한번 더 요청 할 예정입니다.</t>
    <phoneticPr fontId="15" type="noConversion"/>
  </si>
  <si>
    <t>도서검색대</t>
    <phoneticPr fontId="15" type="noConversion"/>
  </si>
  <si>
    <t>도서검색대 프린트가 되지 않는 상황 링캠쪽 방문을 통하여 프린트 드라이버 설치는 끝냈으나, KCMS 에 세팅 적용 요청</t>
    <phoneticPr fontId="15" type="noConversion"/>
  </si>
  <si>
    <t>원격연결을 통하여 1층 어린이자료실과 2층 종합자료실 KCMS 자료검색대 PC 프린트 2대 적용 완료</t>
    <phoneticPr fontId="15" type="noConversion"/>
  </si>
  <si>
    <t>K-LAS DB 일괄 추가 관련 문의</t>
    <phoneticPr fontId="15" type="noConversion"/>
  </si>
  <si>
    <t>안녕하세요.
k-LAS DB 일괄 추가 관련 문의드립니다.
현재 충청남도교육청 본청에 교육과정평가정보원, 행정자료실 2곳이 있으며,
자료실이 7월에 이전통합할 예정인데요.
교육과정평가정보원: K-LAS 시스템, 행정자료실: SOLAS8 시스템 
을 각각 운영하고 있습니다.
이 중 행정자료실(SOLAS8) 도서 20,000권을 K-LAS 시스템에 일괄 추가해서 등록을 하고 싶은데요.
DB는 별도로 추출할 수 있습니다.
DB 정보만 있으면 일괄 추가 등록할 수 있을까요?
전화로 답변부탁드리겠습니다.
041-640-8045(행정자료실)
감사합니다.</t>
    <phoneticPr fontId="15" type="noConversion"/>
  </si>
  <si>
    <t xml:space="preserve"> 25/05/14 11:38 행정자료실 담당 주무관님과 전화 처리완료.</t>
    <phoneticPr fontId="15" type="noConversion"/>
  </si>
  <si>
    <t>연구정보원</t>
    <phoneticPr fontId="15" type="noConversion"/>
  </si>
  <si>
    <t>독서문화-독서문화 행사-나는야 독서왕
4월의 독서왕 내용을
(아동)원*준
(아동)최*랑
(유아)우*훈
위와 같이 수정 부탁드립니다. 감사합니다~</t>
    <phoneticPr fontId="15" type="noConversion"/>
  </si>
  <si>
    <t>홈페이지 로그 기록문의</t>
    <phoneticPr fontId="15" type="noConversion"/>
  </si>
  <si>
    <t xml:space="preserve">안녕하세요.
학생교육문화원 총무부입니다.
정보보안 업무때문에
홈페이지 로그기록(방문자 기록??인가요??)을 남겨야하는데요..
혹시 5월 파일을 받아볼수 있을까요??
제가 직접 파일을 볼수/받을수 있는 방법은 어떻게 하나요??
혹시 전화가 필요할시 041-904-8458로 연락주세요.
감사합니다. </t>
    <phoneticPr fontId="15" type="noConversion"/>
  </si>
  <si>
    <t>로그기록 로우데이터 파일첨부했습니다.</t>
    <phoneticPr fontId="15" type="noConversion"/>
  </si>
  <si>
    <t>홈페이지 접속 로그 확인 요청</t>
    <phoneticPr fontId="15" type="noConversion"/>
  </si>
  <si>
    <t>원콜지원센터 홈페이지 쪽에 문의 요청 / 홈페이지 담당자 전화로 설명 드림 원콜지원센터에 올려 주시면 내일 오전11시 중으로 최대한 답변 주시기로 함/원콜지원센터에 따로 문의내용을 올리지 않아 선생님 메일로 보내드림 25/05/15 09;00</t>
    <phoneticPr fontId="15" type="noConversion"/>
  </si>
  <si>
    <t>안녕하세요. 금산도서관입니다.
금산도서관 홈페이지 내용 변경 요청합니다.
이용안내 - 도서관견학 의 내용을 수정하고 싶습니다.
감사합니다
기존
운영시간: 매주 월요일 10:00~11:00
변경
운영시간: 월요일 10:00~11:00(희망날짜 사전 협의)</t>
    <phoneticPr fontId="15" type="noConversion"/>
  </si>
  <si>
    <t>누리집 내용 수정요청(전집대출서비스)</t>
    <phoneticPr fontId="15" type="noConversion"/>
  </si>
  <si>
    <t>안녕하세요
충청남도교육청평생교육원/자료검색/전집대출서비스 부분 수정 요청 드립니다
담당 문헌정보부 김혜연(629-2080)
1. 충청남도교육청평생교육원/자료검색/전집대출서비스/이용안내(부분변경)
   -&gt; 운영전집: 총류, 철학, 사회과학, 자연과학, 예술, 언어, 문학, 역사 등 67질, 2,700여권
2. 충청남도교육청평생교육원/자료검색/전집대출서비스/전집목록
   -&gt; 목록변경:파일첨부</t>
    <phoneticPr fontId="15" type="noConversion"/>
  </si>
  <si>
    <t>학생교육문화원 예술교육관 내용 수정</t>
    <phoneticPr fontId="15" type="noConversion"/>
  </si>
  <si>
    <t xml:space="preserve">안녕하세요. 
학생교육문화원 예술교육관 내용 수정입니다. 
수정부탁드리겠습니다. 
041-905-6846 담당자 김민정 </t>
    <phoneticPr fontId="15" type="noConversion"/>
  </si>
  <si>
    <t>웹부킹 PC가 1대 있는데 컴퓨터 부팅 시 웹부킹이 제대로 올라오지않는걸로 확인됨 확인결과 PC를 자주 켜주지않아 올라오지않은것으로 확인됨 프로그램을 찾아 프로그램실행 후 재부팅하였을땐 정상적으로 올라오는것을 확인함</t>
    <phoneticPr fontId="15" type="noConversion"/>
  </si>
  <si>
    <t>25/05/14 신간도서가 들어와 태깅작업중 RFID 인식에 오류가 생겨 제대로 작업 진행이 되지않았음, 하지만 옆에 PC에서 작업시에는 이상없이 되는걸로 확인됨 Kdevice 로그 확인을 진행하였으나 로그가 쌓이지 않아있었고, 정기점검에서는 문제가 없는걸로 확인됨 선생님께 라이브콤에 먼저 문의 후 라이브콤에서 비젼쪽에서 확인을 원한다고 할 시에 한번더 확인 도와드리기로 말씀드리고옴</t>
    <phoneticPr fontId="15" type="noConversion"/>
  </si>
  <si>
    <t>상호대차 신청이 되지 않고 있음</t>
    <phoneticPr fontId="15" type="noConversion"/>
  </si>
  <si>
    <t>확인결과 상호대차 제공여부가 N으로 확인되며, 도서관설정에서 바꾸는 방법과, 상호대차 정지에 대한내용 설명</t>
    <phoneticPr fontId="15" type="noConversion"/>
  </si>
  <si>
    <t>태안도서관 자료실 위치 변경으로 대출반납 PC2대 1층으로 이동 PC1대는 교체가 있으므로 Kdevice및 Kdaul 설치 예정 25/05/28 오후</t>
    <phoneticPr fontId="15" type="noConversion"/>
  </si>
  <si>
    <t>번호</t>
    <phoneticPr fontId="11" type="noConversion"/>
  </si>
  <si>
    <t>2025예산</t>
    <phoneticPr fontId="11" type="noConversion"/>
  </si>
  <si>
    <t>충청남도교육청 공주도서관</t>
    <phoneticPr fontId="11" type="noConversion"/>
  </si>
  <si>
    <t>충청남도교육청 유구도서관</t>
    <phoneticPr fontId="11" type="noConversion"/>
  </si>
  <si>
    <t>충청남도교육청 아산도서관</t>
    <phoneticPr fontId="11" type="noConversion"/>
  </si>
  <si>
    <t>충청남도교육청 성환도서관</t>
    <phoneticPr fontId="11" type="noConversion"/>
  </si>
  <si>
    <t>충청남도교육청 평생교육원</t>
    <phoneticPr fontId="11" type="noConversion"/>
  </si>
  <si>
    <t>충청남도교육청 학생교육문화원</t>
    <phoneticPr fontId="11" type="noConversion"/>
  </si>
  <si>
    <t>충청남도교육청 예산도서관</t>
    <phoneticPr fontId="11" type="noConversion"/>
  </si>
  <si>
    <t>충청남도교육청 홍성도서관</t>
    <phoneticPr fontId="11" type="noConversion"/>
  </si>
  <si>
    <t>충청남도교육청 당진도서관</t>
    <phoneticPr fontId="11" type="noConversion"/>
  </si>
  <si>
    <t>충청남도교육청 해미도서관</t>
    <phoneticPr fontId="11" type="noConversion"/>
  </si>
  <si>
    <t>충청남도교육청 남부평생교육원</t>
    <phoneticPr fontId="11" type="noConversion"/>
  </si>
  <si>
    <t>충청남도교육청 청양도서관</t>
    <phoneticPr fontId="11" type="noConversion"/>
  </si>
  <si>
    <t>충청남도교육청 서천도서관</t>
    <phoneticPr fontId="11" type="noConversion"/>
  </si>
  <si>
    <t>충청남도교육청 부여도서관</t>
    <phoneticPr fontId="11" type="noConversion"/>
  </si>
  <si>
    <t>충청남도교육청 보령도서관</t>
    <phoneticPr fontId="11" type="noConversion"/>
  </si>
  <si>
    <t>충청남도교육청 웅천도서관</t>
    <phoneticPr fontId="11" type="noConversion"/>
  </si>
  <si>
    <t>충청남도교육청 태안도서관</t>
    <phoneticPr fontId="11" type="noConversion"/>
  </si>
  <si>
    <t>충청남도교육청 서부평생교육원</t>
    <phoneticPr fontId="11" type="noConversion"/>
  </si>
  <si>
    <t>충청남도교육청 금산도서관</t>
    <phoneticPr fontId="11" type="noConversion"/>
  </si>
  <si>
    <t>없음</t>
    <phoneticPr fontId="11" type="noConversion"/>
  </si>
  <si>
    <t>고운동도서관</t>
    <phoneticPr fontId="11" type="noConversion"/>
  </si>
  <si>
    <t>소담동도서관</t>
    <phoneticPr fontId="11" type="noConversion"/>
  </si>
  <si>
    <t>보람동도서관</t>
    <phoneticPr fontId="11" type="noConversion"/>
  </si>
  <si>
    <t>나성동도서관</t>
    <phoneticPr fontId="11" type="noConversion"/>
  </si>
  <si>
    <t>집현동(예정)</t>
    <phoneticPr fontId="11" type="noConversion"/>
  </si>
  <si>
    <t>홍익대학교 세종캠퍼스</t>
    <phoneticPr fontId="11" type="noConversion"/>
  </si>
  <si>
    <t>바코드 프린터, 도서감응기</t>
    <phoneticPr fontId="11" type="noConversion"/>
  </si>
  <si>
    <t>나이콤 제품 및 서버/방화벽 제품 메일로 제안 요청</t>
    <phoneticPr fontId="11" type="noConversion"/>
  </si>
  <si>
    <t>신성대학교</t>
    <phoneticPr fontId="11" type="noConversion"/>
  </si>
  <si>
    <t>무인반납기, 도서예약대출기 제안 필요</t>
    <phoneticPr fontId="11" type="noConversion"/>
  </si>
  <si>
    <t>장비 접근성강화 모듈 탑재 예정</t>
    <phoneticPr fontId="11" type="noConversion"/>
  </si>
  <si>
    <t>접근성강화 장비 제안 필요</t>
    <phoneticPr fontId="11" type="noConversion"/>
  </si>
  <si>
    <t>25년 상반기 좌석발급기 1대 구매 예정(교체건)
접근성강화 장비 제안 필요</t>
    <phoneticPr fontId="11" type="noConversion"/>
  </si>
  <si>
    <t>달력 설정</t>
  </si>
  <si>
    <t>연도</t>
  </si>
  <si>
    <t>주 시작</t>
  </si>
  <si>
    <t>일요일</t>
  </si>
  <si>
    <t>신정</t>
    <phoneticPr fontId="14" type="noConversion"/>
  </si>
  <si>
    <r>
      <t xml:space="preserve">KDI
소담동/보람동/나성동/고운동
싱싱장터  
연동면        
</t>
    </r>
    <r>
      <rPr>
        <sz val="11"/>
        <rFont val="Malgun Gothic"/>
        <family val="3"/>
        <charset val="129"/>
      </rPr>
      <t>혜경연차</t>
    </r>
    <phoneticPr fontId="11" type="noConversion"/>
  </si>
  <si>
    <r>
      <t xml:space="preserve">직산(AS)
홍익대_세종
세종중앙공원
세종시립              
</t>
    </r>
    <r>
      <rPr>
        <sz val="11"/>
        <rFont val="Malgun Gothic"/>
        <family val="3"/>
        <charset val="129"/>
      </rPr>
      <t>혜경연차</t>
    </r>
    <phoneticPr fontId="11" type="noConversion"/>
  </si>
  <si>
    <r>
      <rPr>
        <sz val="11"/>
        <color rgb="FF00B050"/>
        <rFont val="Malgun Gothic"/>
        <family val="3"/>
        <charset val="129"/>
      </rPr>
      <t>초록: 나이콤</t>
    </r>
    <r>
      <rPr>
        <sz val="11"/>
        <color theme="1" tint="0.24994659260841701"/>
        <rFont val="Malgun Gothic"/>
        <family val="2"/>
      </rPr>
      <t xml:space="preserve">
</t>
    </r>
    <r>
      <rPr>
        <sz val="11"/>
        <color rgb="FF0070C0"/>
        <rFont val="Malgun Gothic"/>
        <family val="3"/>
        <charset val="129"/>
      </rPr>
      <t>파랑: K-LAS</t>
    </r>
    <r>
      <rPr>
        <sz val="11"/>
        <color theme="1" tint="0.24994659260841701"/>
        <rFont val="Malgun Gothic"/>
        <family val="2"/>
      </rPr>
      <t xml:space="preserve">
</t>
    </r>
    <r>
      <rPr>
        <sz val="11"/>
        <color rgb="FFFF0000"/>
        <rFont val="Malgun Gothic"/>
        <family val="3"/>
        <charset val="129"/>
      </rPr>
      <t>빨강: 고정 점검</t>
    </r>
    <r>
      <rPr>
        <sz val="11"/>
        <color theme="1" tint="0.24994659260841701"/>
        <rFont val="Malgun Gothic"/>
        <family val="2"/>
      </rPr>
      <t xml:space="preserve">
검정: 공통 및 영업
</t>
    </r>
    <r>
      <rPr>
        <sz val="11"/>
        <color theme="9" tint="-0.499984740745262"/>
        <rFont val="Malgun Gothic"/>
        <family val="3"/>
        <charset val="129"/>
      </rPr>
      <t>지원/파견/교육</t>
    </r>
    <phoneticPr fontId="14" type="noConversion"/>
  </si>
  <si>
    <t>분홍: 수정업무</t>
    <phoneticPr fontId="14" type="noConversion"/>
  </si>
  <si>
    <r>
      <t xml:space="preserve">국방대(AS)          
</t>
    </r>
    <r>
      <rPr>
        <sz val="11"/>
        <color rgb="FF0070C0"/>
        <rFont val="맑은 고딕"/>
        <family val="3"/>
        <charset val="129"/>
      </rPr>
      <t>홍성,예산</t>
    </r>
    <phoneticPr fontId="11" type="noConversion"/>
  </si>
  <si>
    <r>
      <t xml:space="preserve">아산온담(AS)
두정(AS)
</t>
    </r>
    <r>
      <rPr>
        <sz val="11"/>
        <color rgb="FF0070C0"/>
        <rFont val="맑은 고딕"/>
        <family val="3"/>
        <charset val="129"/>
      </rPr>
      <t>태안,서부평생,해미</t>
    </r>
    <r>
      <rPr>
        <sz val="11"/>
        <color rgb="FF00B050"/>
        <rFont val="맑은 고딕"/>
        <family val="3"/>
        <charset val="129"/>
      </rPr>
      <t xml:space="preserve"> </t>
    </r>
    <phoneticPr fontId="11" type="noConversion"/>
  </si>
  <si>
    <r>
      <t xml:space="preserve">고운동(AS)
직산(AS)
한기대
성거/도솔          
</t>
    </r>
    <r>
      <rPr>
        <sz val="11"/>
        <color rgb="FF0070C0"/>
        <rFont val="맑은 고딕"/>
        <family val="3"/>
        <charset val="129"/>
      </rPr>
      <t>금산,남부평생</t>
    </r>
    <phoneticPr fontId="11" type="noConversion"/>
  </si>
  <si>
    <r>
      <rPr>
        <sz val="11"/>
        <color rgb="FF00B050"/>
        <rFont val="맑은 고딕"/>
        <family val="3"/>
        <charset val="129"/>
      </rPr>
      <t xml:space="preserve">단국대
쌍용
순천향
아산중앙
은행나무길
</t>
    </r>
    <r>
      <rPr>
        <sz val="11"/>
        <color rgb="FF0070C0"/>
        <rFont val="맑은 고딕"/>
        <family val="3"/>
        <charset val="129"/>
      </rPr>
      <t>당진</t>
    </r>
    <phoneticPr fontId="11" type="noConversion"/>
  </si>
  <si>
    <r>
      <t xml:space="preserve">두정(AS)
당진중앙
신성대/기숙사
은행나무길(AS)             
</t>
    </r>
    <r>
      <rPr>
        <sz val="11"/>
        <color rgb="FF0070C0"/>
        <rFont val="맑은 고딕"/>
        <family val="3"/>
        <charset val="129"/>
      </rPr>
      <t>서천,부여</t>
    </r>
    <phoneticPr fontId="11" type="noConversion"/>
  </si>
  <si>
    <t>1.31 / 양과장 연차</t>
    <phoneticPr fontId="11" type="noConversion"/>
  </si>
  <si>
    <t>유구,공주,보령,청양</t>
    <phoneticPr fontId="11" type="noConversion"/>
  </si>
  <si>
    <r>
      <rPr>
        <sz val="11"/>
        <color rgb="FF00B050"/>
        <rFont val="Malgun Gothic"/>
        <family val="3"/>
        <charset val="129"/>
      </rPr>
      <t xml:space="preserve">남부평생
논산열린
</t>
    </r>
    <r>
      <rPr>
        <sz val="11"/>
        <color rgb="FF0070C0"/>
        <rFont val="Malgun Gothic"/>
        <family val="3"/>
        <charset val="129"/>
      </rPr>
      <t>평생,아산</t>
    </r>
    <phoneticPr fontId="11" type="noConversion"/>
  </si>
  <si>
    <t>성환,학생</t>
    <phoneticPr fontId="11" type="noConversion"/>
  </si>
  <si>
    <r>
      <rPr>
        <sz val="11"/>
        <color rgb="FF00B050"/>
        <rFont val="Malgun Gothic"/>
        <family val="3"/>
        <charset val="129"/>
      </rPr>
      <t>직산(AS)</t>
    </r>
    <r>
      <rPr>
        <sz val="11"/>
        <color rgb="FF0070C0"/>
        <rFont val="Malgun Gothic"/>
        <family val="3"/>
        <charset val="129"/>
      </rPr>
      <t xml:space="preserve">
웅천</t>
    </r>
    <phoneticPr fontId="11" type="noConversion"/>
  </si>
  <si>
    <r>
      <t xml:space="preserve">국립세종            
</t>
    </r>
    <r>
      <rPr>
        <sz val="11"/>
        <color rgb="FF0070C0"/>
        <rFont val="맑은 고딕"/>
        <family val="3"/>
        <charset val="129"/>
      </rPr>
      <t>남부평생(AS)</t>
    </r>
    <phoneticPr fontId="11" type="noConversion"/>
  </si>
  <si>
    <t>남부평생</t>
    <phoneticPr fontId="11" type="noConversion"/>
  </si>
  <si>
    <t>은행나무길(AS)</t>
    <phoneticPr fontId="11" type="noConversion"/>
  </si>
  <si>
    <t>대체 휴일</t>
    <phoneticPr fontId="11" type="noConversion"/>
  </si>
  <si>
    <t>설날 연휴</t>
    <phoneticPr fontId="14" type="noConversion"/>
  </si>
  <si>
    <t>설날</t>
    <phoneticPr fontId="14" type="noConversion"/>
  </si>
  <si>
    <t>메모</t>
  </si>
  <si>
    <r>
      <rPr>
        <sz val="11"/>
        <color rgb="FF00B050"/>
        <rFont val="Malgun Gothic"/>
        <family val="3"/>
        <charset val="129"/>
      </rPr>
      <t>초록: 나이콤</t>
    </r>
    <r>
      <rPr>
        <sz val="11"/>
        <color theme="1" tint="0.24994659260841701"/>
        <rFont val="Malgun Gothic"/>
        <family val="2"/>
      </rPr>
      <t xml:space="preserve">
</t>
    </r>
    <r>
      <rPr>
        <sz val="11"/>
        <color rgb="FF0070C0"/>
        <rFont val="Malgun Gothic"/>
        <family val="3"/>
        <charset val="129"/>
      </rPr>
      <t>파랑: K-LAS</t>
    </r>
    <r>
      <rPr>
        <sz val="11"/>
        <color theme="1" tint="0.24994659260841701"/>
        <rFont val="Malgun Gothic"/>
        <family val="2"/>
      </rPr>
      <t xml:space="preserve">
</t>
    </r>
    <r>
      <rPr>
        <sz val="11"/>
        <color rgb="FFFF0000"/>
        <rFont val="Malgun Gothic"/>
        <family val="3"/>
        <charset val="129"/>
      </rPr>
      <t>빨강: 고정 점검</t>
    </r>
    <r>
      <rPr>
        <sz val="11"/>
        <color theme="1" tint="0.24994659260841701"/>
        <rFont val="Malgun Gothic"/>
        <family val="2"/>
      </rPr>
      <t xml:space="preserve">
검정: 공통 및 영업
</t>
    </r>
    <phoneticPr fontId="14" type="noConversion"/>
  </si>
  <si>
    <r>
      <t xml:space="preserve">KDI
소담동/보람동/나성동/고운동
</t>
    </r>
    <r>
      <rPr>
        <sz val="11"/>
        <color rgb="FF0070C0"/>
        <rFont val="맑은 고딕"/>
        <family val="3"/>
        <charset val="129"/>
      </rPr>
      <t>아산,학생,학생AS</t>
    </r>
    <phoneticPr fontId="11" type="noConversion"/>
  </si>
  <si>
    <r>
      <t xml:space="preserve">홍익대_세종
싱싱장터
연동면
쌍용(유지보수/AS)   </t>
    </r>
    <r>
      <rPr>
        <sz val="11"/>
        <color rgb="FF0070C0"/>
        <rFont val="맑은 고딕"/>
        <family val="3"/>
        <charset val="129"/>
      </rPr>
      <t>당진,홍성,예산</t>
    </r>
    <phoneticPr fontId="11" type="noConversion"/>
  </si>
  <si>
    <r>
      <t xml:space="preserve">세종시립
세종중앙공원
단국대
한기대
성거/도솔             </t>
    </r>
    <r>
      <rPr>
        <sz val="11"/>
        <color rgb="FF0070C0"/>
        <rFont val="맑은 고딕"/>
        <family val="3"/>
        <charset val="129"/>
      </rPr>
      <t>태안,서부평생,해미</t>
    </r>
    <r>
      <rPr>
        <sz val="11"/>
        <color rgb="FF00B050"/>
        <rFont val="맑은 고딕"/>
        <family val="3"/>
        <charset val="129"/>
      </rPr>
      <t xml:space="preserve">
</t>
    </r>
    <phoneticPr fontId="11" type="noConversion"/>
  </si>
  <si>
    <r>
      <t xml:space="preserve">순천향
아산중앙
은행나무길
</t>
    </r>
    <r>
      <rPr>
        <sz val="11"/>
        <color rgb="FF0070C0"/>
        <rFont val="맑은 고딕"/>
        <family val="3"/>
        <charset val="129"/>
      </rPr>
      <t>서천,부여</t>
    </r>
    <phoneticPr fontId="11" type="noConversion"/>
  </si>
  <si>
    <r>
      <t xml:space="preserve">당진중앙
서산시립
신성대 기숙사       </t>
    </r>
    <r>
      <rPr>
        <sz val="11"/>
        <color rgb="FF0070C0"/>
        <rFont val="맑은 고딕"/>
        <family val="3"/>
        <charset val="129"/>
      </rPr>
      <t>청양,보령</t>
    </r>
    <phoneticPr fontId="11" type="noConversion"/>
  </si>
  <si>
    <t>지원/파견/교육</t>
    <phoneticPr fontId="11" type="noConversion"/>
  </si>
  <si>
    <r>
      <t xml:space="preserve">소담동,소담동(AS)
</t>
    </r>
    <r>
      <rPr>
        <sz val="11"/>
        <color rgb="FF00B050"/>
        <rFont val="Malgun Gothic"/>
        <family val="3"/>
        <charset val="129"/>
      </rPr>
      <t>소담동(AS)</t>
    </r>
    <phoneticPr fontId="11" type="noConversion"/>
  </si>
  <si>
    <r>
      <rPr>
        <sz val="11"/>
        <color rgb="FF00B050"/>
        <rFont val="Malgun Gothic"/>
        <family val="3"/>
        <charset val="129"/>
      </rPr>
      <t xml:space="preserve">남부평생
</t>
    </r>
    <r>
      <rPr>
        <sz val="11"/>
        <color rgb="FF0070C0"/>
        <rFont val="Malgun Gothic"/>
        <family val="3"/>
        <charset val="129"/>
      </rPr>
      <t>남부평생</t>
    </r>
    <r>
      <rPr>
        <sz val="11"/>
        <rFont val="Malgun Gothic"/>
        <family val="3"/>
        <charset val="129"/>
      </rPr>
      <t xml:space="preserve">
</t>
    </r>
    <r>
      <rPr>
        <sz val="11"/>
        <color rgb="FF00B050"/>
        <rFont val="Malgun Gothic"/>
        <family val="3"/>
        <charset val="129"/>
      </rPr>
      <t xml:space="preserve">논산열린 </t>
    </r>
    <r>
      <rPr>
        <sz val="11"/>
        <rFont val="Malgun Gothic"/>
        <family val="3"/>
        <charset val="129"/>
      </rPr>
      <t xml:space="preserve">               </t>
    </r>
    <r>
      <rPr>
        <sz val="11"/>
        <color rgb="FF0070C0"/>
        <rFont val="Malgun Gothic"/>
        <family val="3"/>
        <charset val="129"/>
      </rPr>
      <t>학생교육(AS)</t>
    </r>
    <phoneticPr fontId="11" type="noConversion"/>
  </si>
  <si>
    <r>
      <t xml:space="preserve">쌍용(AS)                </t>
    </r>
    <r>
      <rPr>
        <sz val="11"/>
        <color rgb="FF0070C0"/>
        <rFont val="Malgun Gothic"/>
        <family val="3"/>
        <charset val="129"/>
      </rPr>
      <t>유구</t>
    </r>
    <phoneticPr fontId="11" type="noConversion"/>
  </si>
  <si>
    <r>
      <t xml:space="preserve">금산,성환,평생,      소정,전의나무,전의도래샘
</t>
    </r>
    <r>
      <rPr>
        <sz val="11"/>
        <color theme="5"/>
        <rFont val="Malgun Gothic"/>
        <family val="3"/>
        <charset val="129"/>
      </rPr>
      <t>진단개선 사업(천안)</t>
    </r>
    <phoneticPr fontId="11" type="noConversion"/>
  </si>
  <si>
    <r>
      <t xml:space="preserve">소담동(AS)
</t>
    </r>
    <r>
      <rPr>
        <sz val="11"/>
        <color theme="5"/>
        <rFont val="Malgun Gothic"/>
        <family val="3"/>
        <charset val="129"/>
      </rPr>
      <t>진단개선 사업(천안)</t>
    </r>
    <phoneticPr fontId="11" type="noConversion"/>
  </si>
  <si>
    <r>
      <t xml:space="preserve">금산,반곡동,소담동AS
</t>
    </r>
    <r>
      <rPr>
        <sz val="11"/>
        <color theme="5"/>
        <rFont val="맑은 고딕"/>
        <family val="3"/>
        <charset val="129"/>
      </rPr>
      <t>진단개선 사업(천안)</t>
    </r>
    <phoneticPr fontId="11" type="noConversion"/>
  </si>
  <si>
    <r>
      <rPr>
        <sz val="11"/>
        <color theme="9" tint="-0.499984740745262"/>
        <rFont val="맑은 고딕"/>
        <family val="3"/>
        <charset val="129"/>
      </rPr>
      <t>논산열린</t>
    </r>
    <r>
      <rPr>
        <sz val="11"/>
        <color rgb="FF00B050"/>
        <rFont val="맑은 고딕"/>
        <family val="3"/>
        <charset val="129"/>
      </rPr>
      <t xml:space="preserve">
</t>
    </r>
    <r>
      <rPr>
        <sz val="11"/>
        <color rgb="FF0070C0"/>
        <rFont val="맑은 고딕"/>
        <family val="3"/>
        <charset val="129"/>
      </rPr>
      <t>고운남측,고운동,조치원읍,조치원어린이,연동면,보람동,책문화센터</t>
    </r>
    <r>
      <rPr>
        <sz val="11"/>
        <color rgb="FF00B050"/>
        <rFont val="맑은 고딕"/>
        <family val="3"/>
        <charset val="129"/>
      </rPr>
      <t xml:space="preserve">
</t>
    </r>
    <r>
      <rPr>
        <sz val="11"/>
        <color theme="5"/>
        <rFont val="맑은 고딕"/>
        <family val="3"/>
        <charset val="129"/>
      </rPr>
      <t>진단개선 사업(천안)</t>
    </r>
    <phoneticPr fontId="11" type="noConversion"/>
  </si>
  <si>
    <r>
      <t>태안여고(AS)</t>
    </r>
    <r>
      <rPr>
        <sz val="11"/>
        <color rgb="FF0070C0"/>
        <rFont val="맑은 고딕"/>
        <family val="3"/>
        <charset val="129"/>
      </rPr>
      <t xml:space="preserve">           대평동,한솔동,새롬동,싱싱장터,해밀동,도담동</t>
    </r>
    <r>
      <rPr>
        <sz val="11"/>
        <color rgb="FF00B050"/>
        <rFont val="맑은 고딕"/>
        <family val="3"/>
        <charset val="129"/>
      </rPr>
      <t xml:space="preserve">
</t>
    </r>
    <r>
      <rPr>
        <sz val="11"/>
        <color theme="5"/>
        <rFont val="맑은 고딕"/>
        <family val="3"/>
        <charset val="129"/>
      </rPr>
      <t>진단개선 사업(천안)</t>
    </r>
    <phoneticPr fontId="11" type="noConversion"/>
  </si>
  <si>
    <r>
      <t xml:space="preserve">장군면,종촌동,어진동작은,아름동
</t>
    </r>
    <r>
      <rPr>
        <sz val="11"/>
        <color theme="5"/>
        <rFont val="맑은 고딕"/>
        <family val="3"/>
        <charset val="129"/>
      </rPr>
      <t>진단개선 사업(천안)</t>
    </r>
    <phoneticPr fontId="11" type="noConversion"/>
  </si>
  <si>
    <t>진단개선 사업(천안)</t>
    <phoneticPr fontId="11" type="noConversion"/>
  </si>
  <si>
    <r>
      <t>국립세종</t>
    </r>
    <r>
      <rPr>
        <sz val="11"/>
        <color rgb="FF0070C0"/>
        <rFont val="Malgun Gothic"/>
        <family val="3"/>
        <charset val="129"/>
      </rPr>
      <t xml:space="preserve">                   웅천,다정동,나성동
</t>
    </r>
    <r>
      <rPr>
        <sz val="11"/>
        <color theme="5"/>
        <rFont val="Malgun Gothic"/>
        <family val="3"/>
        <charset val="129"/>
      </rPr>
      <t>진단개선 사업(천안)</t>
    </r>
    <phoneticPr fontId="11" type="noConversion"/>
  </si>
  <si>
    <r>
      <t xml:space="preserve">세종시립
</t>
    </r>
    <r>
      <rPr>
        <sz val="11"/>
        <color theme="5"/>
        <rFont val="Malgun Gothic"/>
        <family val="3"/>
        <charset val="129"/>
      </rPr>
      <t>진단개선 사업(천안)</t>
    </r>
    <phoneticPr fontId="11" type="noConversion"/>
  </si>
  <si>
    <t>3.1절</t>
    <phoneticPr fontId="14" type="noConversion"/>
  </si>
  <si>
    <t>대체공휴일</t>
    <phoneticPr fontId="14" type="noConversion"/>
  </si>
  <si>
    <r>
      <rPr>
        <sz val="11"/>
        <rFont val="맑은 고딕"/>
        <family val="3"/>
        <charset val="129"/>
      </rPr>
      <t xml:space="preserve">혜경연차            </t>
    </r>
    <r>
      <rPr>
        <sz val="11"/>
        <color rgb="FF00B050"/>
        <rFont val="맑은 고딕"/>
        <family val="3"/>
        <charset val="129"/>
      </rPr>
      <t>KDI국제정책대학원
소담동/보람동/나성동/싱싱장터</t>
    </r>
    <phoneticPr fontId="11" type="noConversion"/>
  </si>
  <si>
    <r>
      <t xml:space="preserve">당진,홍성,예산,태안,서부평생,해미
</t>
    </r>
    <r>
      <rPr>
        <sz val="11"/>
        <color rgb="FF00B050"/>
        <rFont val="맑은 고딕"/>
        <family val="3"/>
        <charset val="129"/>
      </rPr>
      <t>홍익대_세종
연동면/고운동
세종중앙공원
세종시립</t>
    </r>
    <phoneticPr fontId="11" type="noConversion"/>
  </si>
  <si>
    <r>
      <t xml:space="preserve">남부평생,부여
</t>
    </r>
    <r>
      <rPr>
        <sz val="11"/>
        <color rgb="FF00B050"/>
        <rFont val="맑은 고딕"/>
        <family val="3"/>
        <charset val="129"/>
      </rPr>
      <t>단국대
성거/도솔/쌍용
한기대</t>
    </r>
    <phoneticPr fontId="11" type="noConversion"/>
  </si>
  <si>
    <r>
      <rPr>
        <sz val="11"/>
        <color rgb="FF0070C0"/>
        <rFont val="맑은 고딕"/>
        <family val="3"/>
        <charset val="129"/>
      </rPr>
      <t xml:space="preserve">청양,공주,유구,장군면,어진동
</t>
    </r>
    <r>
      <rPr>
        <sz val="11"/>
        <color rgb="FF00B050"/>
        <rFont val="맑은 고딕"/>
        <family val="3"/>
        <charset val="129"/>
      </rPr>
      <t>순천향
은행나무길
아산중앙
당진중앙
신성대 기숙사</t>
    </r>
    <r>
      <rPr>
        <sz val="11"/>
        <color rgb="FFFF0000"/>
        <rFont val="맑은 고딕"/>
        <family val="3"/>
        <charset val="129"/>
      </rPr>
      <t xml:space="preserve"> </t>
    </r>
    <r>
      <rPr>
        <sz val="11"/>
        <color rgb="FF00B050"/>
        <rFont val="맑은 고딕"/>
        <family val="3"/>
        <charset val="129"/>
      </rPr>
      <t xml:space="preserve">             </t>
    </r>
    <phoneticPr fontId="14" type="noConversion"/>
  </si>
  <si>
    <r>
      <t xml:space="preserve">금산,서천
</t>
    </r>
    <r>
      <rPr>
        <sz val="11"/>
        <color theme="5"/>
        <rFont val="Malgun Gothic"/>
        <family val="3"/>
        <charset val="129"/>
      </rPr>
      <t>진단개선 사업(부여)</t>
    </r>
    <phoneticPr fontId="11" type="noConversion"/>
  </si>
  <si>
    <r>
      <t xml:space="preserve">아산,성환,학생,평생
</t>
    </r>
    <r>
      <rPr>
        <sz val="11"/>
        <color theme="5"/>
        <rFont val="Malgun Gothic"/>
        <family val="3"/>
        <charset val="129"/>
      </rPr>
      <t>진단개선 사업(부여)</t>
    </r>
    <phoneticPr fontId="11" type="noConversion"/>
  </si>
  <si>
    <r>
      <t xml:space="preserve">소정,전의나무,전의도래샘
</t>
    </r>
    <r>
      <rPr>
        <sz val="11"/>
        <color rgb="FF00B050"/>
        <rFont val="Malgun Gothic"/>
        <family val="3"/>
        <charset val="129"/>
      </rPr>
      <t>법제처
논산열린
남부평생</t>
    </r>
    <phoneticPr fontId="11" type="noConversion"/>
  </si>
  <si>
    <r>
      <t xml:space="preserve">웅천,보령
</t>
    </r>
    <r>
      <rPr>
        <sz val="11"/>
        <color rgb="FF00B050"/>
        <rFont val="Malgun Gothic"/>
        <family val="3"/>
        <charset val="129"/>
      </rPr>
      <t>태안여고(AS)</t>
    </r>
    <phoneticPr fontId="11" type="noConversion"/>
  </si>
  <si>
    <r>
      <rPr>
        <sz val="11"/>
        <rFont val="Malgun Gothic"/>
        <family val="3"/>
        <charset val="129"/>
      </rPr>
      <t>서울(회원증 발급기 교육)</t>
    </r>
    <r>
      <rPr>
        <sz val="11"/>
        <color rgb="FF0070C0"/>
        <rFont val="Malgun Gothic"/>
        <family val="3"/>
        <charset val="129"/>
      </rPr>
      <t xml:space="preserve">
</t>
    </r>
    <phoneticPr fontId="11" type="noConversion"/>
  </si>
  <si>
    <r>
      <rPr>
        <sz val="11"/>
        <color rgb="FF00B050"/>
        <rFont val="맑은 고딕"/>
        <family val="3"/>
        <charset val="129"/>
      </rPr>
      <t>국방대</t>
    </r>
    <r>
      <rPr>
        <sz val="11"/>
        <color rgb="FF0070C0"/>
        <rFont val="맑은 고딕"/>
        <family val="3"/>
        <charset val="129"/>
      </rPr>
      <t xml:space="preserve">
</t>
    </r>
    <r>
      <rPr>
        <sz val="11"/>
        <color theme="1"/>
        <rFont val="맑은 고딕"/>
        <family val="3"/>
        <charset val="129"/>
      </rPr>
      <t>혜경 연차</t>
    </r>
    <phoneticPr fontId="11" type="noConversion"/>
  </si>
  <si>
    <t xml:space="preserve">조치원읍,조치원어린이,연동면,해밀동,도담동
</t>
    <phoneticPr fontId="11" type="noConversion"/>
  </si>
  <si>
    <r>
      <t xml:space="preserve">학생교육문화원(AS)
</t>
    </r>
    <r>
      <rPr>
        <sz val="11"/>
        <color rgb="FF00B050"/>
        <rFont val="맑은 고딕"/>
        <family val="3"/>
        <charset val="129"/>
      </rPr>
      <t>태안여고(AS)</t>
    </r>
    <phoneticPr fontId="11" type="noConversion"/>
  </si>
  <si>
    <r>
      <t xml:space="preserve">고운남측,고운동,아름동,종촌동
</t>
    </r>
    <r>
      <rPr>
        <sz val="11"/>
        <color rgb="FF00B050"/>
        <rFont val="맑은 고딕"/>
        <family val="3"/>
        <charset val="129"/>
      </rPr>
      <t>서산시립(AS)</t>
    </r>
    <r>
      <rPr>
        <sz val="11"/>
        <color rgb="FF0070C0"/>
        <rFont val="맑은 고딕"/>
        <family val="3"/>
        <charset val="129"/>
      </rPr>
      <t xml:space="preserve">
</t>
    </r>
    <r>
      <rPr>
        <sz val="11"/>
        <color rgb="FF00B050"/>
        <rFont val="맑은 고딕"/>
        <family val="3"/>
        <charset val="129"/>
      </rPr>
      <t xml:space="preserve">신성대 기숙사(AS)
태안여고(AS)
</t>
    </r>
    <phoneticPr fontId="11" type="noConversion"/>
  </si>
  <si>
    <r>
      <t xml:space="preserve">반곡동,소담동,대평동
</t>
    </r>
    <r>
      <rPr>
        <sz val="11"/>
        <color rgb="FF00B050"/>
        <rFont val="맑은 고딕"/>
        <family val="3"/>
        <charset val="129"/>
      </rPr>
      <t>은행나무길(AS)</t>
    </r>
    <phoneticPr fontId="11" type="noConversion"/>
  </si>
  <si>
    <r>
      <t xml:space="preserve">다정동,새롬동,나성동,한솔동
</t>
    </r>
    <r>
      <rPr>
        <sz val="11"/>
        <color rgb="FFFF0000"/>
        <rFont val="Malgun Gothic"/>
        <family val="3"/>
        <charset val="129"/>
      </rPr>
      <t>국립세종</t>
    </r>
    <phoneticPr fontId="11" type="noConversion"/>
  </si>
  <si>
    <r>
      <t xml:space="preserve">책문화센터,보람동,싱싱장터
</t>
    </r>
    <r>
      <rPr>
        <sz val="11"/>
        <color rgb="FF00B050"/>
        <rFont val="Malgun Gothic"/>
        <family val="3"/>
        <charset val="129"/>
      </rPr>
      <t xml:space="preserve">직산(AS)
환경부(AS)
</t>
    </r>
    <r>
      <rPr>
        <sz val="11"/>
        <color theme="1"/>
        <rFont val="Malgun Gothic"/>
        <family val="3"/>
        <charset val="129"/>
      </rPr>
      <t>쌍용</t>
    </r>
    <phoneticPr fontId="11" type="noConversion"/>
  </si>
  <si>
    <r>
      <t xml:space="preserve">법제처(AS)
세종시립(AS)              </t>
    </r>
    <r>
      <rPr>
        <sz val="11"/>
        <color theme="4"/>
        <rFont val="Malgun Gothic"/>
        <family val="3"/>
        <charset val="129"/>
      </rPr>
      <t>세종시립</t>
    </r>
    <phoneticPr fontId="11" type="noConversion"/>
  </si>
  <si>
    <t xml:space="preserve">소담동 (AS)
</t>
    <phoneticPr fontId="11" type="noConversion"/>
  </si>
  <si>
    <t>용곡중(AS)</t>
    <phoneticPr fontId="11" type="noConversion"/>
  </si>
  <si>
    <r>
      <rPr>
        <sz val="11"/>
        <color theme="4"/>
        <rFont val="Malgun Gothic"/>
        <family val="3"/>
        <charset val="129"/>
      </rPr>
      <t>당진,홍성</t>
    </r>
    <r>
      <rPr>
        <sz val="11"/>
        <color rgb="FF00B050"/>
        <rFont val="Malgun Gothic"/>
        <family val="3"/>
        <charset val="129"/>
      </rPr>
      <t xml:space="preserve">
당진중앙</t>
    </r>
    <phoneticPr fontId="11" type="noConversion"/>
  </si>
  <si>
    <r>
      <rPr>
        <sz val="11"/>
        <color rgb="FF0070C0"/>
        <rFont val="Malgun Gothic"/>
        <family val="3"/>
        <charset val="129"/>
      </rPr>
      <t>태안,해미
서천(AS)</t>
    </r>
    <r>
      <rPr>
        <sz val="11"/>
        <color rgb="FF00B050"/>
        <rFont val="Malgun Gothic"/>
        <family val="3"/>
        <charset val="129"/>
      </rPr>
      <t xml:space="preserve">
서산시립(납품/점검)
           </t>
    </r>
    <phoneticPr fontId="11" type="noConversion"/>
  </si>
  <si>
    <r>
      <t xml:space="preserve">평생,성환
</t>
    </r>
    <r>
      <rPr>
        <sz val="11"/>
        <color rgb="FF00B050"/>
        <rFont val="Malgun Gothic"/>
        <family val="3"/>
        <charset val="129"/>
      </rPr>
      <t xml:space="preserve">천안여고(AS)
성거
</t>
    </r>
    <r>
      <rPr>
        <sz val="11"/>
        <color rgb="FF7030A0"/>
        <rFont val="Malgun Gothic"/>
        <family val="3"/>
        <charset val="129"/>
      </rPr>
      <t>소정</t>
    </r>
    <phoneticPr fontId="11" type="noConversion"/>
  </si>
  <si>
    <t xml:space="preserve">청양,유구,공주
</t>
    <phoneticPr fontId="11" type="noConversion"/>
  </si>
  <si>
    <r>
      <rPr>
        <sz val="11"/>
        <color rgb="FF0070C0"/>
        <rFont val="Malgun Gothic"/>
        <family val="3"/>
        <charset val="129"/>
      </rPr>
      <t>파랑: K-LAS</t>
    </r>
    <r>
      <rPr>
        <sz val="11"/>
        <color rgb="FF00B050"/>
        <rFont val="Malgun Gothic"/>
        <family val="3"/>
        <charset val="129"/>
      </rPr>
      <t xml:space="preserve">
초록: 나이콤</t>
    </r>
    <r>
      <rPr>
        <sz val="11"/>
        <color rgb="FF0070C0"/>
        <rFont val="Malgun Gothic"/>
        <family val="3"/>
        <charset val="129"/>
      </rPr>
      <t xml:space="preserve">
</t>
    </r>
    <r>
      <rPr>
        <sz val="11"/>
        <color rgb="FF7030A0"/>
        <rFont val="Malgun Gothic"/>
        <family val="3"/>
        <charset val="129"/>
      </rPr>
      <t>보라: 세종 K-LAS</t>
    </r>
    <r>
      <rPr>
        <sz val="11"/>
        <color theme="1" tint="0.24994659260841701"/>
        <rFont val="Malgun Gothic"/>
        <family val="2"/>
      </rPr>
      <t xml:space="preserve">
</t>
    </r>
    <r>
      <rPr>
        <sz val="11"/>
        <color rgb="FFFF0000"/>
        <rFont val="Malgun Gothic"/>
        <family val="3"/>
        <charset val="129"/>
      </rPr>
      <t>빨강: 고정 점검</t>
    </r>
    <r>
      <rPr>
        <sz val="11"/>
        <color theme="1" tint="0.24994659260841701"/>
        <rFont val="Malgun Gothic"/>
        <family val="2"/>
      </rPr>
      <t xml:space="preserve">
검정: 공통 및 영업
</t>
    </r>
    <phoneticPr fontId="14" type="noConversion"/>
  </si>
  <si>
    <r>
      <t xml:space="preserve">아산,학생
</t>
    </r>
    <r>
      <rPr>
        <sz val="11"/>
        <color rgb="FF00B050"/>
        <rFont val="맑은 고딕"/>
        <family val="3"/>
        <charset val="129"/>
      </rPr>
      <t xml:space="preserve">충남삼성고(AS)
순천향
아산중앙
은행나무길
</t>
    </r>
    <phoneticPr fontId="11" type="noConversion"/>
  </si>
  <si>
    <r>
      <rPr>
        <sz val="11"/>
        <color rgb="FF7030A0"/>
        <rFont val="맑은 고딕"/>
        <family val="3"/>
        <charset val="129"/>
      </rPr>
      <t>해밀동,도담동,장군면,고운남측</t>
    </r>
    <r>
      <rPr>
        <sz val="11"/>
        <color rgb="FF00B050"/>
        <rFont val="맑은 고딕"/>
        <family val="3"/>
        <charset val="129"/>
      </rPr>
      <t xml:space="preserve">
</t>
    </r>
    <phoneticPr fontId="11" type="noConversion"/>
  </si>
  <si>
    <r>
      <t xml:space="preserve">도솔/쌍용
한기대
홍익대_세종
연동면
</t>
    </r>
    <r>
      <rPr>
        <sz val="11"/>
        <color rgb="FF7030A0"/>
        <rFont val="맑은 고딕"/>
        <family val="3"/>
        <charset val="129"/>
      </rPr>
      <t>연동면</t>
    </r>
    <phoneticPr fontId="11" type="noConversion"/>
  </si>
  <si>
    <r>
      <rPr>
        <sz val="11"/>
        <color rgb="FF00B050"/>
        <rFont val="맑은 고딕"/>
        <family val="3"/>
        <charset val="129"/>
      </rPr>
      <t>천안중앙(AS)</t>
    </r>
    <r>
      <rPr>
        <sz val="11"/>
        <color rgb="FF0070C0"/>
        <rFont val="맑은 고딕"/>
        <family val="3"/>
        <charset val="129"/>
      </rPr>
      <t xml:space="preserve">
</t>
    </r>
    <r>
      <rPr>
        <sz val="11"/>
        <color rgb="FF00B050"/>
        <rFont val="맑은 고딕"/>
        <family val="3"/>
        <charset val="129"/>
      </rPr>
      <t xml:space="preserve">고운동
</t>
    </r>
    <r>
      <rPr>
        <sz val="11"/>
        <color rgb="FF7030A0"/>
        <rFont val="맑은 고딕"/>
        <family val="3"/>
        <charset val="129"/>
      </rPr>
      <t xml:space="preserve">새롬동
</t>
    </r>
    <r>
      <rPr>
        <sz val="11"/>
        <color rgb="FF00B050"/>
        <rFont val="맑은 고딕"/>
        <family val="3"/>
        <charset val="129"/>
      </rPr>
      <t xml:space="preserve"> </t>
    </r>
    <r>
      <rPr>
        <sz val="11"/>
        <color rgb="FF7030A0"/>
        <rFont val="맑은 고딕"/>
        <family val="3"/>
        <charset val="129"/>
      </rPr>
      <t xml:space="preserve">           </t>
    </r>
    <r>
      <rPr>
        <sz val="11"/>
        <color rgb="FF0070C0"/>
        <rFont val="맑은 고딕"/>
        <family val="3"/>
        <charset val="129"/>
      </rPr>
      <t xml:space="preserve"> </t>
    </r>
    <phoneticPr fontId="11" type="noConversion"/>
  </si>
  <si>
    <r>
      <rPr>
        <sz val="11"/>
        <color rgb="FF0070C0"/>
        <rFont val="맑은 고딕"/>
        <family val="3"/>
        <charset val="129"/>
      </rPr>
      <t>금산,남부평생</t>
    </r>
    <r>
      <rPr>
        <sz val="11"/>
        <color rgb="FF00B050"/>
        <rFont val="맑은 고딕"/>
        <family val="3"/>
        <charset val="129"/>
      </rPr>
      <t xml:space="preserve">
남부평생
논산열린   
소담동
KDI
</t>
    </r>
    <r>
      <rPr>
        <sz val="11"/>
        <color rgb="FF7030A0"/>
        <rFont val="맑은 고딕"/>
        <family val="3"/>
        <charset val="129"/>
      </rPr>
      <t>소담동</t>
    </r>
    <phoneticPr fontId="11" type="noConversion"/>
  </si>
  <si>
    <r>
      <t xml:space="preserve">지원/파견/교육
</t>
    </r>
    <r>
      <rPr>
        <sz val="11"/>
        <color theme="1"/>
        <rFont val="Malgun Gothic"/>
        <family val="3"/>
        <charset val="129"/>
      </rPr>
      <t>4.8 / 양과장 연차
4.30 / 양과장 연차</t>
    </r>
    <phoneticPr fontId="11" type="noConversion"/>
  </si>
  <si>
    <r>
      <rPr>
        <sz val="11"/>
        <color rgb="FF0070C0"/>
        <rFont val="Malgun Gothic"/>
        <family val="3"/>
        <charset val="129"/>
      </rPr>
      <t xml:space="preserve">서부평생,예산,부여
</t>
    </r>
    <r>
      <rPr>
        <sz val="11"/>
        <color rgb="FF00B050"/>
        <rFont val="Malgun Gothic"/>
        <family val="3"/>
        <charset val="129"/>
      </rPr>
      <t>신성대/기숙사</t>
    </r>
    <r>
      <rPr>
        <sz val="11"/>
        <color rgb="FF0070C0"/>
        <rFont val="Malgun Gothic"/>
        <family val="3"/>
        <charset val="129"/>
      </rPr>
      <t xml:space="preserve">
</t>
    </r>
    <r>
      <rPr>
        <sz val="11"/>
        <color rgb="FF7030A0"/>
        <rFont val="Malgun Gothic"/>
        <family val="3"/>
        <charset val="129"/>
      </rPr>
      <t xml:space="preserve">
   </t>
    </r>
    <phoneticPr fontId="11" type="noConversion"/>
  </si>
  <si>
    <r>
      <rPr>
        <sz val="11"/>
        <color rgb="FFFF0000"/>
        <rFont val="Malgun Gothic"/>
        <family val="3"/>
        <charset val="129"/>
      </rPr>
      <t xml:space="preserve">단국대
</t>
    </r>
    <r>
      <rPr>
        <sz val="11"/>
        <color rgb="FF00B050"/>
        <rFont val="Malgun Gothic"/>
        <family val="3"/>
        <charset val="129"/>
      </rPr>
      <t xml:space="preserve">보람동/나성동/싱싱장터
</t>
    </r>
    <r>
      <rPr>
        <sz val="11"/>
        <color rgb="FF7030A0"/>
        <rFont val="Malgun Gothic"/>
        <family val="3"/>
        <charset val="129"/>
      </rPr>
      <t>나성동,보람동
책문화,싱싱장터</t>
    </r>
    <r>
      <rPr>
        <sz val="11"/>
        <color rgb="FFFF0000"/>
        <rFont val="Malgun Gothic"/>
        <family val="3"/>
        <charset val="129"/>
      </rPr>
      <t xml:space="preserve">
</t>
    </r>
    <r>
      <rPr>
        <sz val="11"/>
        <color rgb="FF7030A0"/>
        <rFont val="Malgun Gothic"/>
        <family val="3"/>
        <charset val="129"/>
      </rPr>
      <t xml:space="preserve">
</t>
    </r>
    <r>
      <rPr>
        <sz val="11"/>
        <color rgb="FF00B050"/>
        <rFont val="Malgun Gothic"/>
        <family val="3"/>
        <charset val="129"/>
      </rPr>
      <t xml:space="preserve">
                </t>
    </r>
    <phoneticPr fontId="11" type="noConversion"/>
  </si>
  <si>
    <r>
      <rPr>
        <sz val="11"/>
        <color rgb="FF0070C0"/>
        <rFont val="Malgun Gothic"/>
        <family val="3"/>
        <charset val="129"/>
      </rPr>
      <t>성환(AS)</t>
    </r>
    <r>
      <rPr>
        <sz val="11"/>
        <color rgb="FF00B050"/>
        <rFont val="Malgun Gothic"/>
        <family val="3"/>
        <charset val="129"/>
      </rPr>
      <t xml:space="preserve">
천안중앙(AS)</t>
    </r>
    <r>
      <rPr>
        <sz val="11"/>
        <color rgb="FF7030A0"/>
        <rFont val="Malgun Gothic"/>
        <family val="3"/>
        <charset val="129"/>
      </rPr>
      <t xml:space="preserve">
전의나무,전의도래샘  </t>
    </r>
    <phoneticPr fontId="11" type="noConversion"/>
  </si>
  <si>
    <r>
      <rPr>
        <sz val="11"/>
        <color rgb="FF0070C0"/>
        <rFont val="Malgun Gothic"/>
        <family val="3"/>
        <charset val="129"/>
      </rPr>
      <t xml:space="preserve">서천
</t>
    </r>
    <r>
      <rPr>
        <sz val="11"/>
        <color rgb="FF00B050"/>
        <rFont val="Malgun Gothic"/>
        <family val="3"/>
        <charset val="129"/>
      </rPr>
      <t xml:space="preserve">고운동(AS)
세종중앙공원
세종시립
</t>
    </r>
    <r>
      <rPr>
        <sz val="11"/>
        <color rgb="FF7030A0"/>
        <rFont val="Malgun Gothic"/>
        <family val="3"/>
        <charset val="129"/>
      </rPr>
      <t xml:space="preserve">고운동,세종시립
</t>
    </r>
    <phoneticPr fontId="11" type="noConversion"/>
  </si>
  <si>
    <r>
      <t xml:space="preserve">보령,웅천
</t>
    </r>
    <r>
      <rPr>
        <sz val="11"/>
        <color rgb="FF00B050"/>
        <rFont val="Malgun Gothic"/>
        <family val="3"/>
        <charset val="129"/>
      </rPr>
      <t>신성대 기숙사(AS)</t>
    </r>
    <r>
      <rPr>
        <sz val="11"/>
        <color rgb="FFFF0000"/>
        <rFont val="Malgun Gothic"/>
        <family val="3"/>
        <charset val="129"/>
      </rPr>
      <t xml:space="preserve">
</t>
    </r>
    <phoneticPr fontId="11" type="noConversion"/>
  </si>
  <si>
    <t xml:space="preserve">고운동(AS)
</t>
    <phoneticPr fontId="11" type="noConversion"/>
  </si>
  <si>
    <r>
      <rPr>
        <sz val="11"/>
        <color rgb="FF00B050"/>
        <rFont val="맑은 고딕"/>
        <family val="3"/>
        <charset val="129"/>
      </rPr>
      <t>성거(AS)</t>
    </r>
    <r>
      <rPr>
        <sz val="11"/>
        <color rgb="FF7030A0"/>
        <rFont val="맑은 고딕"/>
        <family val="3"/>
        <charset val="129"/>
      </rPr>
      <t xml:space="preserve">
아름동,종촌동,어진동,다정동</t>
    </r>
    <phoneticPr fontId="11" type="noConversion"/>
  </si>
  <si>
    <r>
      <rPr>
        <sz val="11"/>
        <color rgb="FF00B050"/>
        <rFont val="맑은 고딕"/>
        <family val="3"/>
        <charset val="129"/>
      </rPr>
      <t>은행나무길(AS)</t>
    </r>
    <r>
      <rPr>
        <sz val="11"/>
        <color rgb="FF7030A0"/>
        <rFont val="맑은 고딕"/>
        <family val="3"/>
        <charset val="129"/>
      </rPr>
      <t xml:space="preserve">
반곡동,대평동,한솔동
조치원읍,조치원어린이
</t>
    </r>
    <phoneticPr fontId="11" type="noConversion"/>
  </si>
  <si>
    <t>성거(AS)</t>
    <phoneticPr fontId="11" type="noConversion"/>
  </si>
  <si>
    <r>
      <t xml:space="preserve">성환(AS)
</t>
    </r>
    <r>
      <rPr>
        <sz val="11"/>
        <color rgb="FF00B050"/>
        <rFont val="맑은 고딕"/>
        <family val="3"/>
        <charset val="129"/>
      </rPr>
      <t>성거(AS)</t>
    </r>
    <r>
      <rPr>
        <sz val="11"/>
        <color rgb="FF0070C0"/>
        <rFont val="맑은 고딕"/>
        <family val="3"/>
        <charset val="129"/>
      </rPr>
      <t xml:space="preserve">
평생교육(AS)</t>
    </r>
    <phoneticPr fontId="11" type="noConversion"/>
  </si>
  <si>
    <r>
      <t xml:space="preserve">국립세종
</t>
    </r>
    <r>
      <rPr>
        <sz val="11"/>
        <color rgb="FF00B050"/>
        <rFont val="Malgun Gothic"/>
        <family val="3"/>
        <charset val="129"/>
      </rPr>
      <t>고운동(AS)
세종중앙공원(AS)</t>
    </r>
    <phoneticPr fontId="11" type="noConversion"/>
  </si>
  <si>
    <t>성환(정기점검 및 AS)</t>
    <phoneticPr fontId="11" type="noConversion"/>
  </si>
  <si>
    <r>
      <rPr>
        <sz val="11"/>
        <color rgb="FF00B050"/>
        <rFont val="Malgun Gothic"/>
        <family val="3"/>
        <charset val="129"/>
      </rPr>
      <t>초록: 나이콤</t>
    </r>
    <r>
      <rPr>
        <sz val="11"/>
        <color theme="1" tint="0.24994659260841701"/>
        <rFont val="Malgun Gothic"/>
        <family val="2"/>
      </rPr>
      <t xml:space="preserve">
</t>
    </r>
    <r>
      <rPr>
        <sz val="11"/>
        <color rgb="FF0070C0"/>
        <rFont val="Malgun Gothic"/>
        <family val="3"/>
        <charset val="129"/>
      </rPr>
      <t xml:space="preserve">파랑: K-LAS
</t>
    </r>
    <r>
      <rPr>
        <sz val="11"/>
        <color rgb="FF7030A0"/>
        <rFont val="Malgun Gothic"/>
        <family val="3"/>
        <charset val="129"/>
      </rPr>
      <t xml:space="preserve">보라: 세종 K-LAS
</t>
    </r>
    <r>
      <rPr>
        <sz val="11"/>
        <color rgb="FFFF0000"/>
        <rFont val="Malgun Gothic"/>
        <family val="3"/>
        <charset val="129"/>
      </rPr>
      <t>빨강: 고정 점검</t>
    </r>
    <r>
      <rPr>
        <sz val="11"/>
        <color theme="1" tint="0.24994659260841701"/>
        <rFont val="Malgun Gothic"/>
        <family val="2"/>
      </rPr>
      <t xml:space="preserve">
검정: 공통 및 영업
</t>
    </r>
    <phoneticPr fontId="14" type="noConversion"/>
  </si>
  <si>
    <t>대체공휴일(어린이날)
부처님오신날</t>
    <phoneticPr fontId="14" type="noConversion"/>
  </si>
  <si>
    <t xml:space="preserve">홍성,예산,유구,공주 </t>
    <phoneticPr fontId="11" type="noConversion"/>
  </si>
  <si>
    <r>
      <rPr>
        <sz val="11"/>
        <color rgb="FF00B050"/>
        <rFont val="맑은 고딕"/>
        <family val="3"/>
        <charset val="129"/>
      </rPr>
      <t>KDI
남부평생
논산열린</t>
    </r>
    <r>
      <rPr>
        <sz val="11"/>
        <color theme="4"/>
        <rFont val="맑은 고딕"/>
        <family val="3"/>
        <charset val="129"/>
      </rPr>
      <t xml:space="preserve">
남부평생.
금산.
</t>
    </r>
    <phoneticPr fontId="11" type="noConversion"/>
  </si>
  <si>
    <r>
      <rPr>
        <sz val="11"/>
        <color rgb="FF00B050"/>
        <rFont val="맑은 고딕"/>
        <family val="3"/>
        <charset val="129"/>
      </rPr>
      <t>순천향</t>
    </r>
    <r>
      <rPr>
        <sz val="11"/>
        <color theme="4"/>
        <rFont val="맑은 고딕"/>
        <family val="3"/>
        <charset val="129"/>
      </rPr>
      <t xml:space="preserve">
아산도서관.
</t>
    </r>
    <r>
      <rPr>
        <sz val="11"/>
        <color rgb="FF00B050"/>
        <rFont val="맑은 고딕"/>
        <family val="3"/>
        <charset val="129"/>
      </rPr>
      <t>아산중앙
은행나무길</t>
    </r>
    <phoneticPr fontId="11" type="noConversion"/>
  </si>
  <si>
    <r>
      <rPr>
        <sz val="11"/>
        <color theme="9" tint="-0.499984740745262"/>
        <rFont val="Malgun Gothic"/>
        <family val="3"/>
        <charset val="129"/>
      </rPr>
      <t>지원/파견/교육</t>
    </r>
    <r>
      <rPr>
        <sz val="11"/>
        <color theme="5"/>
        <rFont val="Malgun Gothic"/>
        <family val="3"/>
        <charset val="129"/>
      </rPr>
      <t xml:space="preserve">
</t>
    </r>
    <r>
      <rPr>
        <sz val="11"/>
        <color theme="1"/>
        <rFont val="Malgun Gothic"/>
        <family val="3"/>
        <charset val="129"/>
      </rPr>
      <t>5.1~5.2 / 양과장 연차
5.7 / 양과장 연차</t>
    </r>
    <phoneticPr fontId="11" type="noConversion"/>
  </si>
  <si>
    <t>5.9 / 혜경연차</t>
    <phoneticPr fontId="11" type="noConversion"/>
  </si>
  <si>
    <r>
      <rPr>
        <sz val="11"/>
        <color rgb="FF00B050"/>
        <rFont val="Malgun Gothic"/>
        <family val="3"/>
        <charset val="129"/>
      </rPr>
      <t>천안중앙</t>
    </r>
    <r>
      <rPr>
        <sz val="11"/>
        <color rgb="FFFF0000"/>
        <rFont val="Malgun Gothic"/>
        <family val="2"/>
      </rPr>
      <t xml:space="preserve">
</t>
    </r>
    <r>
      <rPr>
        <sz val="11"/>
        <color rgb="FF0070C0"/>
        <rFont val="Malgun Gothic"/>
        <family val="3"/>
        <charset val="129"/>
      </rPr>
      <t xml:space="preserve">평생교육원.
학생교육원.
</t>
    </r>
    <phoneticPr fontId="11" type="noConversion"/>
  </si>
  <si>
    <r>
      <rPr>
        <sz val="11"/>
        <color rgb="FF00B050"/>
        <rFont val="Malgun Gothic"/>
        <family val="3"/>
        <charset val="129"/>
      </rPr>
      <t>신성대 기숙사</t>
    </r>
    <r>
      <rPr>
        <sz val="11"/>
        <color theme="4"/>
        <rFont val="Malgun Gothic"/>
        <family val="3"/>
        <charset val="129"/>
      </rPr>
      <t xml:space="preserve">
당진도서관.
</t>
    </r>
    <r>
      <rPr>
        <sz val="11"/>
        <color rgb="FF00B050"/>
        <rFont val="Malgun Gothic"/>
        <family val="3"/>
        <charset val="129"/>
      </rPr>
      <t xml:space="preserve">당진중앙
</t>
    </r>
    <r>
      <rPr>
        <sz val="11"/>
        <color rgb="FF0070C0"/>
        <rFont val="Malgun Gothic"/>
        <family val="3"/>
        <charset val="129"/>
      </rPr>
      <t>서부평생,해미,태안</t>
    </r>
    <phoneticPr fontId="11" type="noConversion"/>
  </si>
  <si>
    <t xml:space="preserve">국방대               
</t>
    <phoneticPr fontId="11" type="noConversion"/>
  </si>
  <si>
    <t>현충일</t>
    <phoneticPr fontId="14" type="noConversion"/>
  </si>
  <si>
    <t>지원 업무</t>
    <phoneticPr fontId="11" type="noConversion"/>
  </si>
  <si>
    <r>
      <rPr>
        <sz val="11"/>
        <color rgb="FF00B050"/>
        <rFont val="Malgun Gothic"/>
        <family val="3"/>
        <charset val="129"/>
      </rPr>
      <t>초록: 나이콤</t>
    </r>
    <r>
      <rPr>
        <sz val="11"/>
        <color theme="1" tint="0.24994659260841701"/>
        <rFont val="Malgun Gothic"/>
        <family val="2"/>
      </rPr>
      <t xml:space="preserve">
</t>
    </r>
    <r>
      <rPr>
        <sz val="11"/>
        <color rgb="FF0070C0"/>
        <rFont val="Malgun Gothic"/>
        <family val="3"/>
        <charset val="129"/>
      </rPr>
      <t xml:space="preserve">파랑: K-LAS
</t>
    </r>
    <r>
      <rPr>
        <sz val="11"/>
        <color rgb="FF7030A0"/>
        <rFont val="Malgun Gothic"/>
        <family val="3"/>
        <charset val="129"/>
      </rPr>
      <t>보라: 세종 K-LAS</t>
    </r>
    <r>
      <rPr>
        <sz val="11"/>
        <color theme="1" tint="0.24994659260841701"/>
        <rFont val="Malgun Gothic"/>
        <family val="2"/>
      </rPr>
      <t xml:space="preserve">
</t>
    </r>
    <r>
      <rPr>
        <sz val="11"/>
        <color rgb="FFFF0000"/>
        <rFont val="Malgun Gothic"/>
        <family val="3"/>
        <charset val="129"/>
      </rPr>
      <t>빨강: 고정 점검</t>
    </r>
    <r>
      <rPr>
        <sz val="11"/>
        <color theme="1" tint="0.24994659260841701"/>
        <rFont val="Malgun Gothic"/>
        <family val="2"/>
      </rPr>
      <t xml:space="preserve">
검정: 공통 및 영업
</t>
    </r>
    <phoneticPr fontId="14" type="noConversion"/>
  </si>
  <si>
    <t>광복절</t>
    <phoneticPr fontId="14" type="noConversion"/>
  </si>
  <si>
    <t>개천절</t>
    <phoneticPr fontId="14" type="noConversion"/>
  </si>
  <si>
    <t>추석 연휴</t>
    <phoneticPr fontId="14" type="noConversion"/>
  </si>
  <si>
    <t>추석</t>
    <phoneticPr fontId="14" type="noConversion"/>
  </si>
  <si>
    <t>한글날</t>
    <phoneticPr fontId="14" type="noConversion"/>
  </si>
  <si>
    <t>크리스마스</t>
    <phoneticPr fontId="14" type="noConversion"/>
  </si>
  <si>
    <r>
      <t xml:space="preserve"> * 방문 / 양기헌, 이준혁
  → 분실방지기 메인 컨트롤 보드 교체. 모니터링 안내.
  → 센서 케이블 터미널 단자 재결합
  → </t>
    </r>
    <r>
      <rPr>
        <sz val="10"/>
        <rFont val="맑은 고딕"/>
        <family val="3"/>
        <charset val="129"/>
      </rPr>
      <t>현재 분실방지 프로그램 개선중으로 완료시점 추적하여 적용 필요.</t>
    </r>
    <r>
      <rPr>
        <sz val="10"/>
        <color rgb="FF000000"/>
        <rFont val="맑은 고딕"/>
        <family val="3"/>
        <charset val="129"/>
      </rPr>
      <t xml:space="preserve">
 * 통화(이준혁 차장)
  → </t>
    </r>
    <r>
      <rPr>
        <sz val="10"/>
        <rFont val="맑은 고딕"/>
        <family val="3"/>
        <charset val="129"/>
      </rPr>
      <t>최신 펌웨어가 적용된 메인컨트롤 보드를 보내준다고 함.</t>
    </r>
    <r>
      <rPr>
        <sz val="10"/>
        <color rgb="FF000000"/>
        <rFont val="맑은 고딕"/>
        <family val="3"/>
        <charset val="129"/>
      </rPr>
      <t xml:space="preserve">
 * 5.20 내역 참고. 완료 처리.</t>
    </r>
    <phoneticPr fontId="11" type="noConversion"/>
  </si>
  <si>
    <t xml:space="preserve"> * 4.29 내역 참고.</t>
    <phoneticPr fontId="11" type="noConversion"/>
  </si>
  <si>
    <t>김유리</t>
    <phoneticPr fontId="11" type="noConversion"/>
  </si>
  <si>
    <t>장비 전체</t>
    <phoneticPr fontId="11" type="noConversion"/>
  </si>
  <si>
    <t>건물 전체</t>
    <phoneticPr fontId="11" type="noConversion"/>
  </si>
  <si>
    <t>유상</t>
    <phoneticPr fontId="11" type="noConversion"/>
  </si>
  <si>
    <t xml:space="preserve"> * 5월 유지보수 방문</t>
    <phoneticPr fontId="11" type="noConversion"/>
  </si>
  <si>
    <t xml:space="preserve"> * 유지보수 방문 / 양기헌, 최혜경
  → 모든 장비(검색대 PC 포함) 로컬 보안정책 설정 변경.
  → 2층 분실방지기 통신연결 안됨 확인. 데스크 연동 PC 윈도우 업데이트 누락으로 인한 증상 확인. 업데이트 후 정상작동 확인.
  → 님스 페이지: 10.100.145.101:8091
  → 3층 후문쪽 검색대PC 모니터 케이블 불량 확인. 담당자 전달 완료.</t>
    <phoneticPr fontId="11" type="noConversion"/>
  </si>
  <si>
    <t>완료</t>
    <phoneticPr fontId="11" type="noConversion"/>
  </si>
  <si>
    <t>임요한</t>
    <phoneticPr fontId="11" type="noConversion"/>
  </si>
  <si>
    <t>5층</t>
    <phoneticPr fontId="11" type="noConversion"/>
  </si>
  <si>
    <t xml:space="preserve"> * 유지보수 방문 / 양기헌, 이준혁
  → 메인 컨트롤보드 최신 펌웨어 업데이트(2018 기준)
  → 테스트 결과 부정도서 팝업이 늦게 나오고 도서가 1권씩만 표시됨.
  → 연구소 확인(한진규 사원). 프로그램 파일 수정 패치. 부정도서 팝업은 20초로 유지 설정. 모니터링 안내.</t>
    <phoneticPr fontId="11" type="noConversion"/>
  </si>
  <si>
    <t>어진동 복컴</t>
    <phoneticPr fontId="11" type="noConversion"/>
  </si>
  <si>
    <t>CI-9000H(19인치)</t>
    <phoneticPr fontId="11" type="noConversion"/>
  </si>
  <si>
    <t>1층 로비</t>
    <phoneticPr fontId="11" type="noConversion"/>
  </si>
  <si>
    <t xml:space="preserve"> * 유지보수 방문 / 양기헌, 이준혁
  → 유지보수 인수인계(케이에스솔루션 문준필 팀장 / 010-2521-6380)
  → 월 1회 점검 후 주무관 서명 받고 ㈜한국타피 길은정 차장(043-715-3614)에게 점검내역서 스캔 발송하면 됨.
  → 키오스크 키번호: 0831 / 프로그램 관리자 비밀번호: GN1582
  → 유지보수 및 AS 문의는 씨아이테크 강신고 차장에게 문의(010-6775-9669)
  → 현금 교체는 담당 주무관이 직접 함.
  → 점검 내역서 및 나이콤 업무포털에 등록 여부는 이준혁 차장에게 문의 필요.</t>
    <phoneticPr fontId="11" type="noConversion"/>
  </si>
  <si>
    <t>300H</t>
    <phoneticPr fontId="11" type="noConversion"/>
  </si>
  <si>
    <r>
      <t xml:space="preserve">고운동
홍익대_세종
</t>
    </r>
    <r>
      <rPr>
        <sz val="11"/>
        <color rgb="FF974706"/>
        <rFont val="맑은 고딕"/>
        <family val="3"/>
        <charset val="129"/>
      </rPr>
      <t xml:space="preserve">어진동복컴
</t>
    </r>
    <r>
      <rPr>
        <sz val="11"/>
        <color rgb="FF7030A0"/>
        <rFont val="맑은 고딕"/>
        <family val="3"/>
        <charset val="129"/>
      </rPr>
      <t xml:space="preserve">어진그림책,장군면
</t>
    </r>
    <phoneticPr fontId="11" type="noConversion"/>
  </si>
  <si>
    <t>통합대출권수 초과 오류</t>
    <phoneticPr fontId="15" type="noConversion"/>
  </si>
  <si>
    <t xml:space="preserve">신유주(14400423006516) 대출권수 현재 12권인데,
다른 책을 대출하려고 했을 때 통합대출권수가 초과되었다고 뜹니다.
확인해주세요~
041-730-7724로 연락부탁드립니다!
</t>
    <phoneticPr fontId="15" type="noConversion"/>
  </si>
  <si>
    <t>도서관 자체 해결로 삭제 된 내용 확인결과 천북이 회원 도서대출 권수가 20권이지만 10권으로 설정이 되어있던걸로 확인됨</t>
    <phoneticPr fontId="15" type="noConversion"/>
  </si>
  <si>
    <t>통합대출가능 권수 초과</t>
    <phoneticPr fontId="15" type="noConversion"/>
  </si>
  <si>
    <t>안녕하세요. 금산도서관 오주환입니다.
순회문고 도서 대출 중에 자관대출 가능 권수에 도달하지 않았는데,
'통합대출가능 권수 초과입니다'란 문구와 함께 대출 처리가 되지 않습니다.
확인 부탁드립니다.
회원번호: 14400320006135</t>
    <phoneticPr fontId="15" type="noConversion"/>
  </si>
  <si>
    <t>전화 확인결과 순회문고 직급 회원의 자관은 300이지만 통합은 150으로 확인됨 관리자 계정에서 200으로 수정하여 처리완료 자관 순회문고 직급을 만들예정 만들시 사서용 계정으로 클래스 코드에 직급정보에 자관직급을 만든 후 사용인지 확인하고 권수 확인요청</t>
    <phoneticPr fontId="15" type="noConversion"/>
  </si>
  <si>
    <t>원부 마지막번호</t>
    <phoneticPr fontId="15" type="noConversion"/>
  </si>
  <si>
    <t>마크작업시 원부번호 자동생성시 일전에 취소한 내용이 있어 마지막번호가 14로 설정 원래 나와야되는번호는 9으로 확인되는데 원부 마지막번호 수정이 가능한지</t>
    <phoneticPr fontId="15" type="noConversion"/>
  </si>
  <si>
    <t>공통-마지막번호관리-공통/원부번호로 두었을때 원부번호마지막으로 사용되는번호로 수정해주시면됨 이건 사서용계정에서 수정가능</t>
    <phoneticPr fontId="15" type="noConversion"/>
  </si>
  <si>
    <t>예술영재교육원,온라인 전시관 갤러리 온 수정 부탁드립니다.</t>
    <phoneticPr fontId="15" type="noConversion"/>
  </si>
  <si>
    <t xml:space="preserve">1. 예술영재교육원 -소개 - 인사말 중에서
맨 위와 맨 아래 문구 수정합니다. 
2. 예술영재교육원-영재교육-교육과정-미술, 무용, 풍물 
교육목표, 교육내용 수정합니다. 
3. 온라인 전시관 갤러리 온
2025학년꺼 추가합니다. 
2월에 부탁드렸던 것 중에서 교육과정 미술, 무용, 풍물 교육목표 칸에 교육내용을 쓰셨더라구요...
수정하실 때 꼼꼼하게 한 번 더 살펴봐 주시기 바랍니다. </t>
    <phoneticPr fontId="15" type="noConversion"/>
  </si>
  <si>
    <t>장서점검</t>
    <phoneticPr fontId="15" type="noConversion"/>
  </si>
  <si>
    <t>장서점검 도중 비도서 소장통계와 소장자료관리에서의 합이 맞지 않음     2권 NBF 551/NBF545</t>
    <phoneticPr fontId="15" type="noConversion"/>
  </si>
  <si>
    <t>확인결과 청구기호에 로마숫자가 들어가 있는걸로 확인됨 그래서 색인처리에서 누락되었던걸로 확인됨 청구기호나 제목에 로마숫자가 들어가면 색인처리에 어려움이 있음 전화로 설명드림 지금은 색인처리로 정상적으로 소장자료관리에서도 확인되는걸로 처리완료</t>
    <phoneticPr fontId="15" type="noConversion"/>
  </si>
  <si>
    <t>대출반납 지연현상 확인을 위하여 채움 원격 연결하였지만, 정상적으로 확인불가</t>
    <phoneticPr fontId="15" type="noConversion"/>
  </si>
  <si>
    <t>대출반납 지연현상 확인을 위하여 채움 원격 연결하였지만, 정상적으로 확인불가(장군면은 조금더 느렸지만 처음이후 정상적으로 확인이 되어 확인이 불가능하다는 답변 서버쪽 문제인걸로 확인되므로 las는 문제가 없는걸로 확인됨 추후 도서관들 더 원격요청)</t>
    <phoneticPr fontId="15" type="noConversion"/>
  </si>
  <si>
    <r>
      <t xml:space="preserve">소담동                    </t>
    </r>
    <r>
      <rPr>
        <sz val="11"/>
        <color rgb="FF7030A0"/>
        <rFont val="Malgun Gothic"/>
        <family val="3"/>
        <charset val="129"/>
      </rPr>
      <t>다정,새롬</t>
    </r>
    <r>
      <rPr>
        <sz val="11"/>
        <color rgb="FF00B050"/>
        <rFont val="Malgun Gothic"/>
        <family val="3"/>
        <charset val="129"/>
      </rPr>
      <t xml:space="preserve"> </t>
    </r>
    <phoneticPr fontId="11" type="noConversion"/>
  </si>
  <si>
    <t xml:space="preserve"> * 유지보수 방문 / 양기헌, 최혜경
  → 3층 자대기에서 소리나는 증상은 바닥 수평이 맞지 않아 리프트부에서 철제 접합부가 닿아서 나는 소리임.
  → 장비는 벽에서 앞으로 20cm 정도 이격시켰으며 프로그램 부팅시 낮음 단계로 가도록 프로그램 수정(신혜연 과장)
  → 분실방지기 프로그램에서 월별 이용통계가 1월분밖에 표기되지 않음. 연구소 이관(신혜연 과장). 추후 재방문 예정.
 * 5.8 문자(신혜연 과장)
  → 신규 패치 프로그램 준비 완료. 5월 정기 점검간 패치 예정.
 * 5.21 내역 참고. 완료 처리.</t>
    <phoneticPr fontId="11" type="noConversion"/>
  </si>
  <si>
    <t>대통령기록관</t>
    <phoneticPr fontId="11" type="noConversion"/>
  </si>
  <si>
    <t xml:space="preserve"> * 5월 유지보수 방문
  → 4.15 내역 참고.</t>
    <phoneticPr fontId="11" type="noConversion"/>
  </si>
  <si>
    <t xml:space="preserve"> * 5월 유지보수 방문</t>
    <phoneticPr fontId="11" type="noConversion"/>
  </si>
  <si>
    <t>김진희</t>
    <phoneticPr fontId="11" type="noConversion"/>
  </si>
  <si>
    <t>구채영</t>
    <phoneticPr fontId="11" type="noConversion"/>
  </si>
  <si>
    <t>최지희</t>
    <phoneticPr fontId="11" type="noConversion"/>
  </si>
  <si>
    <t>472RA</t>
    <phoneticPr fontId="11" type="noConversion"/>
  </si>
  <si>
    <t>2층</t>
    <phoneticPr fontId="11" type="noConversion"/>
  </si>
  <si>
    <t xml:space="preserve"> * 유선 접수 / 양기헌
  → 분실방지기가 작동하지 않는다고 함.</t>
    <phoneticPr fontId="11" type="noConversion"/>
  </si>
  <si>
    <t xml:space="preserve"> * 방문 / 양기헌
  → 일시적인 컨트롤보드 동작 오류. 리셋 후 정상작동 확인.
  → 분실방지기 안테나 옆면으로 서가가 있음(약 90cm). 안테나 옆 45cm 지점에서 부정도서 검출됨.
  → 230RS 도서 대출반납간에 솔라스 서버 호출이 느린 증상 확인. 기관 전달 완료.</t>
    <phoneticPr fontId="11" type="noConversion"/>
  </si>
  <si>
    <t>완료</t>
    <phoneticPr fontId="11" type="noConversion"/>
  </si>
  <si>
    <t>장비 전체</t>
    <phoneticPr fontId="11" type="noConversion"/>
  </si>
  <si>
    <t>5층</t>
    <phoneticPr fontId="11" type="noConversion"/>
  </si>
  <si>
    <t>건물 전체</t>
    <phoneticPr fontId="11" type="noConversion"/>
  </si>
  <si>
    <t xml:space="preserve"> * 유지보수 방문 / 양기헌
  → 2층 어린이자료실 데스크 pc 2대 모두 분실방지 프로그램 연동중이었음. 오른쪽pc가 서버. 왼쪽pc가 클라이언트.
  → 클라이언트 pc에서 프로그램 사용 안함 처리.
  → 2, 3층 분실방지 월별 통계 기능 개선 프로그램 패치(신혜연 과장). 모니터링.</t>
    <phoneticPr fontId="11" type="noConversion"/>
  </si>
  <si>
    <t>이일중</t>
    <phoneticPr fontId="11" type="noConversion"/>
  </si>
  <si>
    <t>950SL</t>
    <phoneticPr fontId="11" type="noConversion"/>
  </si>
  <si>
    <t xml:space="preserve"> * 유선 접수 / 양기헌
  → 기존도서 150권 배출 후 신규 도서 150권 투입 요청.</t>
    <phoneticPr fontId="11" type="noConversion"/>
  </si>
  <si>
    <r>
      <t xml:space="preserve">단국대
성거/도솔/쌍용
한기대                                </t>
    </r>
    <r>
      <rPr>
        <sz val="11"/>
        <color rgb="FF0070C0"/>
        <rFont val="Malgun Gothic"/>
        <family val="3"/>
        <charset val="129"/>
      </rPr>
      <t xml:space="preserve">서천,부여 </t>
    </r>
    <phoneticPr fontId="11" type="noConversion"/>
  </si>
  <si>
    <r>
      <t xml:space="preserve">대통령기록관(AS)
연동면
보람동/나성동/싱싱장터
</t>
    </r>
    <r>
      <rPr>
        <sz val="11"/>
        <color rgb="FF7030A0"/>
        <rFont val="맑은 고딕"/>
        <family val="3"/>
        <charset val="129"/>
      </rPr>
      <t>연동면,나성,싱싱,보람동,소담동,소정,전의나무,전의도래샘,조치원읍,조치원어린이</t>
    </r>
    <r>
      <rPr>
        <sz val="11"/>
        <color rgb="FF00B050"/>
        <rFont val="맑은 고딕"/>
        <family val="3"/>
        <charset val="129"/>
      </rPr>
      <t xml:space="preserve">
</t>
    </r>
    <phoneticPr fontId="11" type="noConversion"/>
  </si>
  <si>
    <r>
      <rPr>
        <sz val="11"/>
        <color rgb="FF00B050"/>
        <rFont val="맑은 고딕"/>
        <family val="3"/>
        <charset val="129"/>
      </rPr>
      <t>소담동(AS)
세종시립
세종중앙공원</t>
    </r>
    <r>
      <rPr>
        <sz val="11"/>
        <color rgb="FF0070C0"/>
        <rFont val="맑은 고딕"/>
        <family val="3"/>
        <charset val="129"/>
      </rPr>
      <t xml:space="preserve">               
</t>
    </r>
    <r>
      <rPr>
        <sz val="11"/>
        <color rgb="FF7030A0"/>
        <rFont val="맑은 고딕"/>
        <family val="3"/>
        <charset val="129"/>
      </rPr>
      <t>세종시립,고운남측</t>
    </r>
    <r>
      <rPr>
        <sz val="11"/>
        <color rgb="FF0070C0"/>
        <rFont val="맑은 고딕"/>
        <family val="3"/>
        <charset val="129"/>
      </rPr>
      <t xml:space="preserve">
</t>
    </r>
    <r>
      <rPr>
        <sz val="11"/>
        <color rgb="FF7030A0"/>
        <rFont val="맑은 고딕"/>
        <family val="3"/>
        <charset val="129"/>
      </rPr>
      <t xml:space="preserve">고운동,종촌,아름
</t>
    </r>
    <phoneticPr fontId="11" type="noConversion"/>
  </si>
  <si>
    <t>KCMS자료검색대 오류</t>
    <phoneticPr fontId="15" type="noConversion"/>
  </si>
  <si>
    <t xml:space="preserve">자료검색대 PC 에서 재부팅하여도 프로그램이 흰 화면으로 확인됨 </t>
    <phoneticPr fontId="15" type="noConversion"/>
  </si>
  <si>
    <t>현장방문을 하였을땐 정상적으로 작동이 되는것으로 확인되며, 추후 같은 증상이 있을시에 재방문드리기로함</t>
    <phoneticPr fontId="15" type="noConversion"/>
  </si>
  <si>
    <t>자료관리 및 전화문의</t>
    <phoneticPr fontId="15" type="noConversion"/>
  </si>
  <si>
    <t>[긴급]상호대차 일시 정지 요청</t>
    <phoneticPr fontId="15" type="noConversion"/>
  </si>
  <si>
    <t>안녕하세요, 홍성도서관입니다.
다름아니라 저희 기관의 사정으로 인해 타 기관에서 저희 홍성도서관 자료를 상호대차 신청하시는 걸 6월 첫째주까지 막아주셨으면 합니다.
타 기관 상호대차 도서를 저희 이용자가 신청한 후 대출하거나 반납하는 건 가능하지만,
저희 기관 상호대차 도서를 신청하실 수 없도록입니다.
신청 재개일은 6월 2일부터입니다.
중지 시작 5월 22일
  오전 10시 30분
개시 시작 6월 2일
 오전 9시
감사합니다.</t>
    <phoneticPr fontId="15" type="noConversion"/>
  </si>
  <si>
    <t xml:space="preserve"> 상호대차 일시 정지 되었습니다.
25/06/02 9시에 상호대차가 개시 되지 않으며 문의주세요.</t>
    <phoneticPr fontId="15" type="noConversion"/>
  </si>
  <si>
    <t>안녕하세요 아산도서관입니다.
 아래 2개 팝업 내려주세요 감사합니다.
 * 2025년 세대공감! 추억을 담은 그림책 만들기
 * 2025년 제61회 도서관주간 행사 안내문</t>
    <phoneticPr fontId="15" type="noConversion"/>
  </si>
  <si>
    <t>양과장님 방문</t>
    <phoneticPr fontId="15" type="noConversion"/>
  </si>
  <si>
    <r>
      <t xml:space="preserve"> * 유선 안내 / 양기헌
  → 3층 후문 자가대출반납기와 분실방지기 용산캠퍼스로 이동은 4월 중순경에 진행될 예정이라고 함.
  → </t>
    </r>
    <r>
      <rPr>
        <sz val="10"/>
        <color theme="1"/>
        <rFont val="맑은 고딕"/>
        <family val="3"/>
        <charset val="129"/>
      </rPr>
      <t>장비 상차시에 총판에서 지원 필요. 작업 일정 미정. 확인 필요.</t>
    </r>
    <r>
      <rPr>
        <sz val="10"/>
        <color rgb="FF000000"/>
        <rFont val="맑은 고딕"/>
        <family val="3"/>
        <charset val="129"/>
      </rPr>
      <t xml:space="preserve">
  → 자가대출반납기 탈거 전에 NIMS에서 장비 목록 삭제 후 탈거 해야한다고 함(이정중 과장)
 * 3.26 통화(김원근 사무관)
  → 현재 예산 집행중. 4월 말에서 5월초에 집행 완료될 예정이라고 함.
 * 5.08 통화(김유리 주무관)
  → </t>
    </r>
    <r>
      <rPr>
        <sz val="10"/>
        <rFont val="맑은 고딕"/>
        <family val="3"/>
        <charset val="129"/>
      </rPr>
      <t>5.19~5.23 중에 장비 위치 이동 가능여부 문의. 제조사 일정 확인 후 회신 예정 안내.</t>
    </r>
    <r>
      <rPr>
        <sz val="10"/>
        <color rgb="FF000000"/>
        <rFont val="맑은 고딕"/>
        <family val="3"/>
        <charset val="129"/>
      </rPr>
      <t xml:space="preserve">
 * 5.14 통화(김유리 주무관)
  → 기관 보안 이슈로 인한 용산 캠퍼스로 장비 이동은 잠정 연기되었다고 함. 완료 처리.</t>
    </r>
    <phoneticPr fontId="11" type="noConversion"/>
  </si>
  <si>
    <r>
      <t xml:space="preserve"> * 방문 / 양기헌
  → 독서 통장 정리 테스트(김소혜 대리)
  → 약 17~21초 정도 걸림.
  → 나이콤 독통 프로그램에서 호출 속도는 조정 불가능. 
  → 채움 고객지원에 문의 예정(양기헌 과장).
 * 3.27 채움 고객지원에 문의 완료.
 * 4.15 통화(채움 이하은 팀장)
  → 현재 DB 쿼리 분석중으로 이번주중으로 답변 준다고 함.
 * 5.9 통화(이은하 팀장)
  → </t>
    </r>
    <r>
      <rPr>
        <sz val="10"/>
        <color theme="1"/>
        <rFont val="맑은 고딕"/>
        <family val="3"/>
        <charset val="129"/>
      </rPr>
      <t>접수 받은 로그에 대한 쿼리 및 DB 분석 및 테스트 결과 정상 범위 내로 처리되고 있다고 함. 기관내 방화벽 및 네트워크로 인한 처리 지연으로 예상 된다고 함. 해당내용 대신 네트워크에 전달 완료.</t>
    </r>
    <phoneticPr fontId="11" type="noConversion"/>
  </si>
  <si>
    <t>건물 전체</t>
    <phoneticPr fontId="11" type="noConversion"/>
  </si>
  <si>
    <t>황현정</t>
    <phoneticPr fontId="11" type="noConversion"/>
  </si>
  <si>
    <t>310S</t>
    <phoneticPr fontId="11" type="noConversion"/>
  </si>
  <si>
    <t>1층</t>
    <phoneticPr fontId="11" type="noConversion"/>
  </si>
  <si>
    <t xml:space="preserve"> * 적재함이 가득 찼다고 함.</t>
    <phoneticPr fontId="11" type="noConversion"/>
  </si>
  <si>
    <t xml:space="preserve"> * 방문 / 양기헌
  → 기다란 어린이 도서가 가로로 반납되어 적재함에서 세워져 있었음. 해당 도서 제거 후 정상 작동 확인.</t>
    <phoneticPr fontId="11" type="noConversion"/>
  </si>
  <si>
    <t>완료</t>
    <phoneticPr fontId="11" type="noConversion"/>
  </si>
  <si>
    <t>윤승호</t>
    <phoneticPr fontId="11" type="noConversion"/>
  </si>
  <si>
    <t>장비 전체</t>
    <phoneticPr fontId="11" type="noConversion"/>
  </si>
  <si>
    <t>건물 전체</t>
    <phoneticPr fontId="11" type="noConversion"/>
  </si>
  <si>
    <t xml:space="preserve"> * 5월 유지보수 방문</t>
    <phoneticPr fontId="11" type="noConversion"/>
  </si>
  <si>
    <r>
      <t xml:space="preserve"> * 유지보수 방문 / 양기헌, 이준혁
  → 2동 920SG / 블루스크린 확인. 전원키로 강제종료 후 재부팅. 윈도우 정품인증 에러로 인한 부팅이 제대로 안된것으로 보임(이준혁 차장)
  → </t>
    </r>
    <r>
      <rPr>
        <sz val="10"/>
        <color theme="1"/>
        <rFont val="맑은 고딕"/>
        <family val="3"/>
        <charset val="129"/>
      </rPr>
      <t>1층 2620 / 반납일이 휴관일 적용이 안되어져서 나타남. 연구소 이관(이정중 과장)</t>
    </r>
    <r>
      <rPr>
        <sz val="10"/>
        <color rgb="FF000000"/>
        <rFont val="맑은 고딕"/>
        <family val="3"/>
        <charset val="129"/>
      </rPr>
      <t xml:space="preserve">
  → 분실방지기 / 1,2층에 신규 파일 패치. 1층에 안테나 튜닝(이준혁 차장)
  → 무인반납기(2대) 오링 교체
 * 5.26 내역 참고. 완료 처리.</t>
    </r>
    <phoneticPr fontId="11" type="noConversion"/>
  </si>
  <si>
    <t>황현정</t>
    <phoneticPr fontId="11" type="noConversion"/>
  </si>
  <si>
    <t>5층</t>
    <phoneticPr fontId="11" type="noConversion"/>
  </si>
  <si>
    <t xml:space="preserve"> * 유선 접수 / 최혜경
  → 자대기에서 확인증이 안나오고 도서 대출 후 완료 내용이 안나온다고 함.</t>
    <phoneticPr fontId="11" type="noConversion"/>
  </si>
  <si>
    <t>완료</t>
    <phoneticPr fontId="11" type="noConversion"/>
  </si>
  <si>
    <t xml:space="preserve"> * 방문 / 양기헌
  → 자대기 확인증 출력 가능으로 설정 변경. 확인증 프린터 포트 재연결. 대출반납 테스트 정상 확인.</t>
    <phoneticPr fontId="11" type="noConversion"/>
  </si>
  <si>
    <t>다정동 도서관</t>
    <phoneticPr fontId="11" type="noConversion"/>
  </si>
  <si>
    <t>김연은</t>
    <phoneticPr fontId="11" type="noConversion"/>
  </si>
  <si>
    <t>990SL</t>
    <phoneticPr fontId="11" type="noConversion"/>
  </si>
  <si>
    <t xml:space="preserve"> * 훼손도서 반납</t>
    <phoneticPr fontId="11" type="noConversion"/>
  </si>
  <si>
    <t xml:space="preserve"> * 방문 / 양기헌
  → 스마트도서관 내 훼손도서 반납. "흔한남매.2"</t>
    <phoneticPr fontId="11" type="noConversion"/>
  </si>
  <si>
    <t>신성대 기숙사</t>
    <phoneticPr fontId="11" type="noConversion"/>
  </si>
  <si>
    <t>한춘숙</t>
    <phoneticPr fontId="11" type="noConversion"/>
  </si>
  <si>
    <t>기숙사 1관</t>
    <phoneticPr fontId="11" type="noConversion"/>
  </si>
  <si>
    <t xml:space="preserve"> * 문자 접수 / 양기헌
  → 출구쪽 바코드 스캐너가 작동하지 않는다고 함.</t>
    <phoneticPr fontId="11" type="noConversion"/>
  </si>
  <si>
    <t xml:space="preserve"> * 방문 / 양기헌
  → 바코드 스캐너 전원 재연결 및 포트 재연결. 테스트 정상 작동 확인.</t>
    <phoneticPr fontId="11" type="noConversion"/>
  </si>
  <si>
    <t>강미화</t>
    <phoneticPr fontId="11" type="noConversion"/>
  </si>
  <si>
    <t>310S</t>
    <phoneticPr fontId="11" type="noConversion"/>
  </si>
  <si>
    <t>1층 방풍실</t>
    <phoneticPr fontId="11" type="noConversion"/>
  </si>
  <si>
    <t xml:space="preserve"> * 유선 접수 / 양기헌
  → 며칠전 도서관 정전 이후 장비가 안켜진다고 함.</t>
    <phoneticPr fontId="11" type="noConversion"/>
  </si>
  <si>
    <t xml:space="preserve"> * 방문 / 양기헌
  → 장비 차단기 재작동 및 전원부 케이블 재결함. 전원키로 부팅시 정상작동 확인.</t>
    <phoneticPr fontId="11" type="noConversion"/>
  </si>
  <si>
    <t>국립세종</t>
    <phoneticPr fontId="11" type="noConversion"/>
  </si>
  <si>
    <t xml:space="preserve"> * 유선 안내 / 양기헌
  → 일정 확인 후 꿈샘도서관 방문 예정 안내.
  → 신규 도서 목록 요청.
 * 5.28 내역 참고. 완료 처리.</t>
    <phoneticPr fontId="11" type="noConversion"/>
  </si>
  <si>
    <t>이일중</t>
    <phoneticPr fontId="11" type="noConversion"/>
  </si>
  <si>
    <t>950SL</t>
    <phoneticPr fontId="11" type="noConversion"/>
  </si>
  <si>
    <t xml:space="preserve"> * 5.21 내역 참고.</t>
    <phoneticPr fontId="11" type="noConversion"/>
  </si>
  <si>
    <t xml:space="preserve"> * 방문 / 양기헌
  → 스마트도서관 도서 교체
  → 150권 배출. 166권 투입. 투입 후 375권 적재.</t>
    <phoneticPr fontId="11" type="noConversion"/>
  </si>
  <si>
    <t>완료</t>
    <phoneticPr fontId="11" type="noConversion"/>
  </si>
  <si>
    <t>연체이용자가 도서 반납을 하지 않은경우 사서제한이 가능하도록 요청</t>
    <phoneticPr fontId="15" type="noConversion"/>
  </si>
  <si>
    <t>대출반납이 느림  테스트결과 정상적으로 대출반납이 되어 확인이 불가능</t>
    <phoneticPr fontId="15" type="noConversion"/>
  </si>
  <si>
    <t>홍보동영상 게시를 위한 첨부용량 확대 요청</t>
    <phoneticPr fontId="15" type="noConversion"/>
  </si>
  <si>
    <t>우리 평생교육원 홍보동영상을 변경 요청하고자 첨부물을 등록하려 하였는데 용량초과로 올려지지 않으니,
첨부용량을 확대하여 주시기 바랍니다.
기관안내 - 홍보동영상 - 파일찾기</t>
    <phoneticPr fontId="15" type="noConversion"/>
  </si>
  <si>
    <t>처리중</t>
    <phoneticPr fontId="15" type="noConversion"/>
  </si>
  <si>
    <t>우리 평생교육원 누리집 팝업을 다음과 같이 게시 요청합니다.
제목: 2026년도 교육정책수립 및 예산편성을 위한 설문조사
기간: 2025. 6. 4.(수) ~ 2025. 7. 3.(목)
이미지: 붙임</t>
    <phoneticPr fontId="15" type="noConversion"/>
  </si>
  <si>
    <t>홈페이지 수정기능 문의</t>
    <phoneticPr fontId="15" type="noConversion"/>
  </si>
  <si>
    <t>안녕하세요.
학생교육문화원 총무부입니다.
저희 홈페이지에 보면
대관일정이라는 페이지가 있는데 
대관일정 &lt; 공연장대관 | 충청남도교육청학생교육문화원
혹시 제가 이 아이디로 로그인했을떄
소공연장, 대공연장 일정에 대관일정을 기입하고 수정하고 삭제하는 기능이 있을까요??
없으면 추가가 가능할까요??</t>
    <phoneticPr fontId="15" type="noConversion"/>
  </si>
  <si>
    <t>안녕하세요 주무관님
아래의 방법으로 대관일정 관리 가능합니다.
1. 관리자 아이디로 로그인 후 관리자페이지(https://chsl.cne.go.kr/mng/index.do) 접속
2. '신청관리-대관시설관리-대관신청관리' 메뉴 접속
3. '시설선택(2)' 셀렉트에서 일정을 관리할 메뉴 선택
4. 우측의 '생성'버튼을 통해 일정 생성 가능
추가적으로 궁금한 사항이 있으시다면 문의 주시기 바랍니다.
감사합니다.</t>
    <phoneticPr fontId="15" type="noConversion"/>
  </si>
  <si>
    <t>총소장권수 통계문의</t>
    <phoneticPr fontId="15" type="noConversion"/>
  </si>
  <si>
    <t xml:space="preserve">5월 21일을 기준으로 낸 총소장권수 통계: 113419권  (5월 21일에 조회)
5월 21일을 기준으로 낸 총소장권수 통계: 113420권  (5월 27일에 조회)
113419권이 나와야 하는데 1권이 차이가 납니다.
확인 부탁드립니다. </t>
    <phoneticPr fontId="15" type="noConversion"/>
  </si>
  <si>
    <t>EMK000083889 구멍놀이 자료실 - 아산폐기예정도서 2022  2025-05-21 15:40:39 날짜에 제적자료에서 파손자료로 자료상태가 변경됐습니다.
소장자료관리에서 코드변경이력으로 작업자 확인 가능합니다.</t>
    <phoneticPr fontId="15" type="noConversion"/>
  </si>
  <si>
    <t>시스템 계정 초기화</t>
    <phoneticPr fontId="15" type="noConversion"/>
  </si>
  <si>
    <t>선생님들 연수라 외근가신 상태인데 근로장학생로그인시 실패하여 로그인이 되지 않아 요청</t>
    <phoneticPr fontId="15" type="noConversion"/>
  </si>
  <si>
    <t>남민우 부장님께 부탁하여 전화처리완료</t>
    <phoneticPr fontId="15" type="noConversion"/>
  </si>
  <si>
    <t>웅천도서관 박종석 이용자께서 공주도서관 마녀와7일 도서를 상호대차 신청을 하려고 하였지만 버튼이 비활성</t>
    <phoneticPr fontId="15" type="noConversion"/>
  </si>
  <si>
    <t>확인결과 신간도서이므로 도서관에서 일부 상호대차 처리를 해주지않는걸로 확인됨 비활성 시 도서관측 문제가 있어 상호대차가 비활성화되거나 도서관측에서 신간 도서 같은경우는 상호대차 비활성화하는경우가 있다고 설명드림</t>
    <phoneticPr fontId="15" type="noConversion"/>
  </si>
  <si>
    <t>Kdevice 설치 근로장학생 PC RFID 설치로 인하여</t>
    <phoneticPr fontId="15" type="noConversion"/>
  </si>
  <si>
    <t>6/8까지 냉난방공사로 임시로 도서관 운영 중단</t>
    <phoneticPr fontId="15" type="noConversion"/>
  </si>
  <si>
    <t>문화가 있는날</t>
    <phoneticPr fontId="15" type="noConversion"/>
  </si>
  <si>
    <t>금산,서부,보령,평생,해미,성환,학생,예산,부여,서천 정상적으로 확인이 되지만 공주,홍성,웅천,유구는 비정상적으로 확인요청</t>
    <phoneticPr fontId="15" type="noConversion"/>
  </si>
  <si>
    <t>남부,태안,당진,아산,청양은 두배로 대출을 진행하지않고 유구도 신청은 되어있지만 취소요청 공주,홍성은 배너사용이 따로 적용이 안되어있었으며, 자동 두배로가 되지않아 따로 신청 요청</t>
    <phoneticPr fontId="15" type="noConversion"/>
  </si>
  <si>
    <t>대출 통계</t>
    <phoneticPr fontId="15" type="noConversion"/>
  </si>
  <si>
    <t>대출이 적은 도서 리스트를 확인하여 최근 5년간 대출 횟수가 없는 도서를 서가에서 정리 하는 작업을 하려고함</t>
    <phoneticPr fontId="15" type="noConversion"/>
  </si>
  <si>
    <t>5.13 / 혜경 연차  5.30 / 혜경연차</t>
    <phoneticPr fontId="11" type="noConversion"/>
  </si>
  <si>
    <r>
      <t xml:space="preserve">반곡
</t>
    </r>
    <r>
      <rPr>
        <sz val="11"/>
        <color rgb="FF00B050"/>
        <rFont val="Malgun Gothic"/>
        <family val="3"/>
        <charset val="129"/>
      </rPr>
      <t xml:space="preserve">신성대 기숙사(AS)
서산시립(AS)
</t>
    </r>
    <r>
      <rPr>
        <sz val="11"/>
        <color theme="9" tint="-0.499984740745262"/>
        <rFont val="Malgun Gothic"/>
        <family val="3"/>
        <charset val="129"/>
      </rPr>
      <t>청양다목적회관</t>
    </r>
    <r>
      <rPr>
        <sz val="11"/>
        <color rgb="FF00B050"/>
        <rFont val="Malgun Gothic"/>
        <family val="3"/>
        <charset val="129"/>
      </rPr>
      <t xml:space="preserve">
</t>
    </r>
    <phoneticPr fontId="11" type="noConversion"/>
  </si>
  <si>
    <r>
      <rPr>
        <sz val="11"/>
        <color rgb="FF7030A0"/>
        <rFont val="Malgun Gothic"/>
        <family val="3"/>
        <charset val="129"/>
      </rPr>
      <t>대평,도담,해밀,세종시립</t>
    </r>
    <r>
      <rPr>
        <sz val="11"/>
        <color rgb="FF0070C0"/>
        <rFont val="Malgun Gothic"/>
        <family val="3"/>
        <charset val="129"/>
      </rPr>
      <t xml:space="preserve">
</t>
    </r>
    <r>
      <rPr>
        <sz val="11"/>
        <color rgb="FF00B050"/>
        <rFont val="Malgun Gothic"/>
        <family val="3"/>
        <charset val="129"/>
      </rPr>
      <t>꿈샘어린이청소년(AS)</t>
    </r>
    <r>
      <rPr>
        <sz val="11"/>
        <color rgb="FF0070C0"/>
        <rFont val="Malgun Gothic"/>
        <family val="3"/>
        <charset val="129"/>
      </rPr>
      <t xml:space="preserve">
</t>
    </r>
    <r>
      <rPr>
        <sz val="11"/>
        <color rgb="FF00B050"/>
        <rFont val="Malgun Gothic"/>
        <family val="3"/>
        <charset val="129"/>
      </rPr>
      <t>은행나무길(AS)</t>
    </r>
    <phoneticPr fontId="11" type="noConversion"/>
  </si>
  <si>
    <r>
      <t xml:space="preserve">은행나무길(AS)
국립세종(AS)                        </t>
    </r>
    <r>
      <rPr>
        <sz val="11"/>
        <color rgb="FF7030A0"/>
        <rFont val="Malgun Gothic"/>
        <family val="3"/>
        <charset val="129"/>
      </rPr>
      <t>한솔,책문화</t>
    </r>
    <phoneticPr fontId="11" type="noConversion"/>
  </si>
  <si>
    <t>상호대차 자관 보낸자료 확인시 자관에서 타관으로 제한자료 총 31권을 N으로 두면 1권이 보여야 되는데 31권으로 확인 됨 수정 요청</t>
    <phoneticPr fontId="15" type="noConversion"/>
  </si>
  <si>
    <t>KLAS 미대출자료관리에서 확인이 가능하다</t>
    <phoneticPr fontId="15" type="noConversion"/>
  </si>
  <si>
    <t>서부관리자 계정 정지 및 비밀번호 초기화 요청</t>
    <phoneticPr fontId="15" type="noConversion"/>
  </si>
  <si>
    <t>홈페이지 대관 기능 추가 문의..</t>
    <phoneticPr fontId="15" type="noConversion"/>
  </si>
  <si>
    <t>안녕하세요??
학생교육문화원 총무부입니다..
아래 글에서 알려주신대로 공연장 대관 신청 글을 등록해보았는데 
자꾸 "서비스이용이 원활하지 않습니다"라고 떠서
등록이 안되는데 어떻게 해야하나요??
혹시 전화주실경우에는 041-904-8458로 연락해주시면 되세요~!
감사합니다.</t>
    <phoneticPr fontId="15" type="noConversion"/>
  </si>
  <si>
    <t xml:space="preserve">안녕하세요 주무관님
대관신청관리 글 등록시에 아래 첨부 이미지와 같이
시간을 포함한 모든 항목이 입력 완료되었는지 확인 부탁드립니다.
00시, 00분 셀렉트를 선택해 입력해주셔야 합니다.
모든 항목이 입력되었음에도 동일한 현상이 발생한다면 다시 문의 주시기 바랍니다.
감사합니다.
 </t>
    <phoneticPr fontId="15" type="noConversion"/>
  </si>
  <si>
    <t>홈페이지 대관 기능 추가 문의의 답변의 답변..</t>
    <phoneticPr fontId="15" type="noConversion"/>
  </si>
  <si>
    <t>안녕하세요?
학생교육문화원 총무부입니다,
문의전에도 빈칸을 모두 작성하여 올렸는데도 해당 오류가 일어났구요..
답변 본 다음 혹시몰라서 다시 빈칸을 다 작성해서
올렸는데도 이렇게 오류가 뜹니다..ㅜㅜ</t>
    <phoneticPr fontId="15" type="noConversion"/>
  </si>
  <si>
    <t>접수대기</t>
    <phoneticPr fontId="15" type="noConversion"/>
  </si>
  <si>
    <t xml:space="preserve"> * 5.26 내역 참고.</t>
    <phoneticPr fontId="11" type="noConversion"/>
  </si>
  <si>
    <r>
      <t xml:space="preserve"> * 유지보수 방문 / 양기헌
  → 1층 데스크쪽 자가대출반납기 SSD 불량으로 인한 교체 예정.
  → 나이콤으로부터 부품 수령 후 재방문 예정.
 * 4.29 내역 참고
  → </t>
    </r>
    <r>
      <rPr>
        <sz val="10"/>
        <color rgb="FFFF0000"/>
        <rFont val="맑은 고딕"/>
        <family val="3"/>
        <charset val="129"/>
      </rPr>
      <t>1층 2620 / 반납일이 휴관일 적용이 안되어져서 나타남. 연구소 이관(이정중 과장)</t>
    </r>
    <r>
      <rPr>
        <sz val="10"/>
        <color rgb="FF000000"/>
        <rFont val="맑은 고딕"/>
        <family val="3"/>
        <charset val="129"/>
      </rPr>
      <t xml:space="preserve">
 * 5.29 내역 참고. 완료 처리.</t>
    </r>
    <phoneticPr fontId="11" type="noConversion"/>
  </si>
  <si>
    <t xml:space="preserve">
</t>
    <phoneticPr fontId="11" type="noConversion"/>
  </si>
  <si>
    <r>
      <t xml:space="preserve">국립세종
다정동(AS)
소담동(AS)                </t>
    </r>
    <r>
      <rPr>
        <sz val="11"/>
        <color rgb="FF0070C0"/>
        <rFont val="Malgun Gothic"/>
        <family val="3"/>
        <charset val="129"/>
      </rPr>
      <t>보령,웅천,청양</t>
    </r>
    <r>
      <rPr>
        <sz val="11"/>
        <color rgb="FFFF0000"/>
        <rFont val="Malgun Gothic"/>
        <family val="3"/>
        <charset val="129"/>
      </rPr>
      <t xml:space="preserve">                   </t>
    </r>
    <phoneticPr fontId="11" type="noConversion"/>
  </si>
  <si>
    <r>
      <t xml:space="preserve">엑스게이트 세미나  </t>
    </r>
    <r>
      <rPr>
        <sz val="11"/>
        <color rgb="FF0070C0"/>
        <rFont val="Malgun Gothic"/>
        <family val="3"/>
        <charset val="129"/>
      </rPr>
      <t xml:space="preserve">    </t>
    </r>
    <r>
      <rPr>
        <sz val="11"/>
        <color theme="9" tint="-0.499984740745262"/>
        <rFont val="Malgun Gothic"/>
        <family val="3"/>
        <charset val="129"/>
      </rPr>
      <t xml:space="preserve"> </t>
    </r>
    <phoneticPr fontId="11" type="noConversion"/>
  </si>
  <si>
    <t xml:space="preserve">국립세종(AS)
</t>
    <phoneticPr fontId="11" type="noConversion"/>
  </si>
  <si>
    <t>402번 문의 재문의</t>
    <phoneticPr fontId="15" type="noConversion"/>
  </si>
  <si>
    <t>통계를 다시 확인하엿을때 5월21일 기준으로 통계를 산출하였을때 113419권으로 확인되어야 정상이지만 113422권으로 확인됨</t>
    <phoneticPr fontId="15" type="noConversion"/>
  </si>
  <si>
    <t>확인결과 5/29 아이디 정지인으로EMK114631 제적에서 파손으로 코드변경이 되었고 5/31 아이디 남진현으로 EMK000011373/EMK000011375 제적에서 파손으로 코드변경이 되었습니다. 그래서 3권이 늘어난걸로 확인되고 배가일자로 통계를 산출하기때문에 코드변경일과는 상관없이 제적도서가 파손으로 코드변경이 되면 배가일자가 통계일자에 포함이 되기때문에 변동이 있을수 밖에 없습니다. 선생님과 전화 처리완료</t>
    <phoneticPr fontId="15" type="noConversion"/>
  </si>
  <si>
    <t>누리집 내 홍보영상 게시 오류</t>
    <phoneticPr fontId="15" type="noConversion"/>
  </si>
  <si>
    <t>우리 평생교육원 누리집 내 홍보동영상을 게시요청하려 하였으나, 오류가 발생하였으니 우선 이 문제를 처리하여 주시기 바랍니다.</t>
    <phoneticPr fontId="15" type="noConversion"/>
  </si>
  <si>
    <t>안녕하세요 주무관님
자세한 오류 파악을 위해 오류가 발생한 화면을 캡쳐하거나 영상을 함께 첨부해주시면 감사하겠습니다.</t>
    <phoneticPr fontId="15" type="noConversion"/>
  </si>
  <si>
    <t>누리집 수정</t>
    <phoneticPr fontId="15" type="noConversion"/>
  </si>
  <si>
    <t>안녕하세요. 누리집의 기관안내-교육원운영규정 항목 맨 아래 교육원 운영규정 별표와 별지 '다운로드' 파일을 첨부파일로 수정 부탁드립니다. 감사합니다.</t>
    <phoneticPr fontId="15" type="noConversion"/>
  </si>
  <si>
    <t>홍보영상 올리기 오류</t>
    <phoneticPr fontId="15" type="noConversion"/>
  </si>
  <si>
    <t xml:space="preserve">우리 평생교육원 홍보영상 올리기 오류가 붙임과 같이 나타납니다.
</t>
    <phoneticPr fontId="15" type="noConversion"/>
  </si>
  <si>
    <t xml:space="preserve"> * 방문 / 양기헌
  → 장비 메인보드, SSD, 파워서플라이 교체.
  → 포트 인식 불량으로 인한 메인보드 원복 필요 확인. 익일 재방문 예정.
 * 5.30 방문 / 양기헌
  → 1층 230RS 기존 메인보드로 원복(쿨러 팬만 교체).
  → OS 오류로 인한 현장 지원 요청(이정중 과장). 6.10.(화)에 이준혁 차장 지원 예정. 기관 안내 및 6.2에 내부 검토 할 예정이라고 함.
 * 6.2 방문 / 양기헌, 이호성 차장
  → 1층 200RP SSD를 2층 200RP SSD에서 복제 후 적용. 정상작동 확인. 모니터링 안내.</t>
    <phoneticPr fontId="11" type="noConversion"/>
  </si>
  <si>
    <t xml:space="preserve"> * 유선 접수 / 양기헌
  → 화면 모서리 드래그시 바탕화면으로 돌아간다고 함.</t>
    <phoneticPr fontId="11" type="noConversion"/>
  </si>
  <si>
    <t xml:space="preserve"> * 유선 안내 / 양기헌
  → 윈도우즈 가장자리 UI 밀기 기능 안내. 적용 후 안될 경우 연락 준다고 하심.</t>
    <phoneticPr fontId="11" type="noConversion"/>
  </si>
  <si>
    <r>
      <t xml:space="preserve"> * 방문 / 양기헌
  → 5단 롤러부 교체. </t>
    </r>
    <r>
      <rPr>
        <sz val="10"/>
        <color theme="1"/>
        <rFont val="맑은 고딕"/>
        <family val="3"/>
        <charset val="129"/>
      </rPr>
      <t>교체간에 전원키 케이블 망가짐(교체 필요). 전원 키 정상 작동 확인.</t>
    </r>
    <r>
      <rPr>
        <sz val="10"/>
        <color rgb="FF000000"/>
        <rFont val="맑은 고딕"/>
        <family val="3"/>
        <charset val="129"/>
      </rPr>
      <t xml:space="preserve">
  → 03:00에 장비 재부팅되나 07:00에 CMOS로 켜지도록 설정. </t>
    </r>
    <phoneticPr fontId="11" type="noConversion"/>
  </si>
  <si>
    <t>300H</t>
    <phoneticPr fontId="11" type="noConversion"/>
  </si>
  <si>
    <t>1층 방풍실</t>
    <phoneticPr fontId="11" type="noConversion"/>
  </si>
  <si>
    <t xml:space="preserve"> * 유선 접수 / 양기헌
  → 관리자 메시지가 나오고 전원 재부팅 해도 동일 함.
  → 장비 안쪽 트레이와 적재함 입구 사이에 크고 두꺼운 도서 2권이 들어있었다고 함.</t>
    <phoneticPr fontId="11" type="noConversion"/>
  </si>
  <si>
    <t>윤예진</t>
    <phoneticPr fontId="11" type="noConversion"/>
  </si>
  <si>
    <t>2층</t>
    <phoneticPr fontId="11" type="noConversion"/>
  </si>
  <si>
    <t xml:space="preserve"> * 유선 접수 / 양기헌
  → 2층 자대기가 버벅인다고 함.</t>
    <phoneticPr fontId="11" type="noConversion"/>
  </si>
  <si>
    <r>
      <t xml:space="preserve"> * 방문 / 양기헌
  → 해당 도서는 기관에서 제거하였으며, 나이콤에 트레이 모터 커플링 파손으로 인한 재고 요청.
  → 금일 발송 한다고 하며 기관에는 6.5에 부품 수령 후 방문 예정 안내.
 * 6.5 방문 / 양기헌
  → 트레이 모터 커플러 교체. 트레이 모터 고정가이드 휘어짐으로 인한 모터 및 트레이 체인핀 어긋남.
  → </t>
    </r>
    <r>
      <rPr>
        <sz val="10"/>
        <color rgb="FFFF0000"/>
        <rFont val="맑은 고딕"/>
        <family val="3"/>
        <charset val="129"/>
      </rPr>
      <t>해당 고정가이드 나이콤 발주 요청. 추후 나이콤 이준혁 차장 지원하여 해당 부품 교체 예정.</t>
    </r>
    <phoneticPr fontId="11" type="noConversion"/>
  </si>
  <si>
    <t>김재우</t>
    <phoneticPr fontId="11" type="noConversion"/>
  </si>
  <si>
    <t>무인민원발급기</t>
    <phoneticPr fontId="11" type="noConversion"/>
  </si>
  <si>
    <t>1층 로비</t>
    <phoneticPr fontId="11" type="noConversion"/>
  </si>
  <si>
    <t>유상</t>
    <phoneticPr fontId="11" type="noConversion"/>
  </si>
  <si>
    <t xml:space="preserve"> * 유선 접수 / 양기헌
  → 편철기 에러가 난다고 함.</t>
    <phoneticPr fontId="11" type="noConversion"/>
  </si>
  <si>
    <t xml:space="preserve"> * 방문 / 양기헌
  → 편철기 내외부 정상. 용지 출력 후 편철기로 공급시 간헐적으로 용지가 제대로 나오지 않거나 구겨져서 나옴. 모니터링 안내.</t>
    <phoneticPr fontId="11" type="noConversion"/>
  </si>
  <si>
    <t>완료</t>
    <phoneticPr fontId="11" type="noConversion"/>
  </si>
  <si>
    <r>
      <t>국립세종(AS)
어진동복컴(AS)</t>
    </r>
    <r>
      <rPr>
        <b/>
        <sz val="11"/>
        <color rgb="FF00B050"/>
        <rFont val="Malgun Gothic"/>
        <family val="3"/>
        <charset val="129"/>
      </rPr>
      <t xml:space="preserve">
</t>
    </r>
    <r>
      <rPr>
        <sz val="11"/>
        <color rgb="FF7030A0"/>
        <rFont val="Malgun Gothic"/>
        <family val="3"/>
        <charset val="129"/>
      </rPr>
      <t>소정,조치원읍,조치원어린이,전의나무,전의도래샘</t>
    </r>
    <phoneticPr fontId="11" type="noConversion"/>
  </si>
  <si>
    <t>안녕하세요 주무관님
내부 테스트 결과 기능은 정상작동하는 것으로 확인됩니다.
추가적으로 오류가 있는지 원인을 분석하는데 시간이 다소 소요될 것으로 예상되어,
등록하시고자 하는 대관 일정 정보를 알려주시면 이번 건은 저희 측에서 등록하도록 하겠습니다.
또한 오류가 발생한 자세한 정황이 필요해 글 작성 완료 화면(등록 버튼을 누르기 전 화면)을 캡쳐해 보내주시면 감사하겠습니다.
이용에 불편을 끼쳐 드려 죄송합니다.
감사합니다.</t>
    <phoneticPr fontId="15" type="noConversion"/>
  </si>
  <si>
    <t>홈페이지 대관 기능 추가 문의의 답변의 답변의 답변..</t>
    <phoneticPr fontId="15" type="noConversion"/>
  </si>
  <si>
    <t>안녕하세요.
학생교육문화원 총무부입니다.
대관쪽에서 글올릴때 버튼 누르기전 화면 캡쳐해달라고 하셨는데..
그냥 글올릴때 동영상 한번 찍어보았습니다~!
제 컴퓨터에서도 그렇고
제옆에 컴퓨터에서도
저와 동일한 증상이 일어납니다..
감사합니다..</t>
    <phoneticPr fontId="15" type="noConversion"/>
  </si>
  <si>
    <t>안녕하세요 주무관님
해당 오류는 글 작성시 신청자명이 6글자를 초과하면 발생하는 오류로, 현재 문제 없이 사용하실 수 있도록 조치완료 해두었습니다.
이용에 불편을 드려 죄송합니다.
감사합니다.</t>
    <phoneticPr fontId="15" type="noConversion"/>
  </si>
  <si>
    <t>안녕하세요 주무관님
위 오류는 첨부파일 허용 용량이 넘는 파일을 첨부했을 때 나타나는 현상으로 파악됩니다.
현재 원콜 게시판 첨부파일의 허용 용량을 2GB까지 증량한 상태입니다.
첨부하시고자 하는 파일이 2GB 이상이라면 아래와 같은 방법을 시도해보실 수 있습니다.
1. 동영상 렌더링을 통해 용량 축소
2. 파일 분할압축
3. 외부 드라이브에 게시 후 다운로드 링크 전달
또는 첨부하실 파일의 정확한 용량을 알려주시면 내부적으로 방안을 검토해보도록 하겠습니다.
이용에 불편을 드려 죄송합니다.
감사합니다.</t>
    <phoneticPr fontId="15" type="noConversion"/>
  </si>
  <si>
    <t xml:space="preserve">상호대차 횟수 복구 </t>
    <phoneticPr fontId="15" type="noConversion"/>
  </si>
  <si>
    <t>이름: 이현준
아이디: ston30
도서 등록번호: EMD283780
상호대차 횟수 복구 부탁드립니다</t>
    <phoneticPr fontId="15" type="noConversion"/>
  </si>
  <si>
    <t>KLAS 대출반납쪽 청구기호 출력기 연계(연계는 정상적으로 이루어졌지만 대출증과 반납증 테스트 페이지 전부 정상 출력이 되는것으로 확인됨 하지만 도서검색시 자료위치 출력시 오류 메시지가 확인되어 채움의 원격을 통하여 Kdevice 및 듀얼 재설치 증상이 같아 EPSON 프로그램 최신버전으로 교체 작업 확인 결과 정상적으로 자료위치 출력도 이루어짐 이런일이 없는데 태안만 이런증상으로 교체작업이 들어감)</t>
    <phoneticPr fontId="15" type="noConversion"/>
  </si>
  <si>
    <t>마크반입후 작업자료관리에서 작업을 하려고 보니 198권이 정상이지만 199권으로 확인됨 작업자료관리에서 삭제를 하고 처음부터 다시 시작하려고 하였지만 마크 중복으로 입력이 안됨</t>
    <phoneticPr fontId="15" type="noConversion"/>
  </si>
  <si>
    <t>확인결과 삭제 처리가 제대로 이루어 지지 않은것으로 확인됨 정리대상자료로 남아있어 마크 중복으로 확인이 되었던걸로 확인되어 정리대상자료에서 삭제 처리를 하고 원부번호 2025년6으로 등록시 마크반입이 정상적으로 이루어질것을 전화통화로 처리완료</t>
    <phoneticPr fontId="15" type="noConversion"/>
  </si>
  <si>
    <t>사용자 계정</t>
    <phoneticPr fontId="15" type="noConversion"/>
  </si>
  <si>
    <t>근로장학생 또는 사회복무 요원 아이디에 마스킹 처리를 하려고 하는데 관리자 계정에서 어떻게 하는지 모름</t>
    <phoneticPr fontId="15" type="noConversion"/>
  </si>
  <si>
    <t>관리자 계정에서 그 해당 아이디를 검색 후 클릭 하시면 수정버튼을 누르시고 이용자 권한이 모든 권한을 권한 없음으로 수정 해주시면 됨 전화 처리완료</t>
    <phoneticPr fontId="15" type="noConversion"/>
  </si>
  <si>
    <t>회원증 인식 오류</t>
    <phoneticPr fontId="15" type="noConversion"/>
  </si>
  <si>
    <t>회원증 바코드는 인식이 되지만 회원증 RFID는 인식이 불가능한걸로 확인됨 2층 PC 2대 전부가 인식이 되지않아 이용자 회원증을 재발급하였지만 똑같은 증상</t>
    <phoneticPr fontId="15" type="noConversion"/>
  </si>
  <si>
    <t>RFID 등록이 제대로 이루어지지 않은것으로 확인되어 등록 요청을 하였고 현재 정상적으로 인식이 되는걸로 확인됨 전화처리완료</t>
    <phoneticPr fontId="15" type="noConversion"/>
  </si>
  <si>
    <t>우리 평생교육원 홍보영상 올리기 오류가 붙임과 같이 나타납니다.(용량이 600MB 정도인데 동일한 오류가 반복하여 나타남)</t>
    <phoneticPr fontId="15" type="noConversion"/>
  </si>
  <si>
    <t>팝업게시 요청,도서관행사안내 달력 게시</t>
    <phoneticPr fontId="15" type="noConversion"/>
  </si>
  <si>
    <t xml:space="preserve"> 팝업게시 요청드립니다. 
 팝업제목: 영화 인문학 강연 참여자 모집
 게시기간:2025. 6. 5.~6.18
 도서관행사 안내 달력 (2025. 6. 18.)
  https://aslib.cne.go.kr/evt/selectSchdulinfoCalendar.do?menuId=MNU_0000000000000377
  찾아가는 인문학 프로그램
  영화 인문학 강연(이승연)
 클릭 시 첨부파일 홍보문 나올 수 있도록 부탁드립니다. </t>
    <phoneticPr fontId="15" type="noConversion"/>
  </si>
  <si>
    <t>누리집 특정 게시판 글쓰기 권한 제한 요청</t>
    <phoneticPr fontId="15" type="noConversion"/>
  </si>
  <si>
    <t>안녕하세요
 평생교육원 누리집 메뉴 중,
 '독서문화 - 학교지원프로그램 - 독후활동자료집'
 게시판이 현재 로그인만 하면 회원 누구나 글을 쓸 수 있는 게시판으로 설정되어 있는데,
 관리자(문헌정보부)만이 글을 쓸 수 있는 게시판으로 변경해 주시기 바랍니다.
 감사합니다.</t>
    <phoneticPr fontId="15" type="noConversion"/>
  </si>
  <si>
    <t>통계문의</t>
    <phoneticPr fontId="15" type="noConversion"/>
  </si>
  <si>
    <t>2025.05.25. 기준으로 총소장권수 113419 권인데
다시 통계를 내니까 113420으로 1권 늘어나 있습니다
. (제적에서 파손처리된 도서도 확인했는데 어디서 1권이 늘어났는지 모르겠습니다)
확인 부탁드립니다.</t>
    <phoneticPr fontId="15" type="noConversion"/>
  </si>
  <si>
    <t>관리자 계정</t>
    <phoneticPr fontId="15" type="noConversion"/>
  </si>
  <si>
    <t>통합도서관 통계를 확인하고 싶어 별도로 교육청 아이디 말고 도서관에 관리자 계정을 부여할수있는지 여부</t>
    <phoneticPr fontId="15" type="noConversion"/>
  </si>
  <si>
    <t>메일 요청</t>
    <phoneticPr fontId="15" type="noConversion"/>
  </si>
  <si>
    <t>비블리오티카 장비를 사용중이시지만 Kdevice 설치가 따로 되어있지 않아 현장에서 원격으로 확인을 했고 확인결과 비블리오티카 API를 사용중인것으로 확인이 되어 따로 설치가 필요없다는 답변을 받음</t>
    <phoneticPr fontId="15" type="noConversion"/>
  </si>
  <si>
    <t>대출반납시 조금 느린 현상이 있지만 로그확인 했을때 몇초 정도 늦는걸로 확인되므로 따로 조치해줄수가 없다고 답변 드리고 윈도우 업데이트가 되지 않아 윈도우 업데이트 진행을 도와드림, 자료검색대 쪽에서 알약으로 인해 팝업 창이 계속 확인이되어 불편하다는 답변을 받고 (이경재주임님)과 통화후 조치를 취해드림</t>
    <phoneticPr fontId="15" type="noConversion"/>
  </si>
  <si>
    <t>이경재</t>
    <phoneticPr fontId="11" type="noConversion"/>
  </si>
  <si>
    <t xml:space="preserve"> * 문자 접수 / 양기헌
  → 선반 이동 장애.</t>
    <phoneticPr fontId="11" type="noConversion"/>
  </si>
  <si>
    <t xml:space="preserve"> * 방문 / 양기헌
  → XY축 에러 확인(E07). 모터드라이브 및 장비 재부팅.
  → 부스 에어컨이 꺼져있었음. 부스 내부 과열로 인한 장비 일시적인 축 에러로 예상.
  → 오후에 나이콤 스마트지원팀 안상훈 부장 방문. 장비 내부 우측 하단에 온도계 및 냉각팬 설치(37도 기준).</t>
    <phoneticPr fontId="11" type="noConversion"/>
  </si>
  <si>
    <t>완료</t>
    <phoneticPr fontId="11" type="noConversion"/>
  </si>
  <si>
    <t>장비 전체</t>
    <phoneticPr fontId="11" type="noConversion"/>
  </si>
  <si>
    <t>건물 전체</t>
    <phoneticPr fontId="11" type="noConversion"/>
  </si>
  <si>
    <t xml:space="preserve"> * 6월 정기 유지보수</t>
    <phoneticPr fontId="11" type="noConversion"/>
  </si>
  <si>
    <t xml:space="preserve"> * 유지보수 방문 / 양기헌
  → 2층 분실방지기 네트워크 커넥션 에러 확인. 장비 및 프로그램 재부팅 후 정상작동 확인.
  → 독통에서 간헐적으로 전원이 꺼지는 증상 지속 발생 한다고 하여 메인보드 전지 교체 및 시간 초기화. 자동 부팅시간 변경(09:00에서 08:55). 모니터링 안내.</t>
    <phoneticPr fontId="11" type="noConversion"/>
  </si>
  <si>
    <t xml:space="preserve"> * 유지보수 방문 / 양기헌
  → 특이사항 없음.</t>
    <phoneticPr fontId="11" type="noConversion"/>
  </si>
  <si>
    <t>황현정</t>
    <phoneticPr fontId="11" type="noConversion"/>
  </si>
  <si>
    <t xml:space="preserve"> * 유지보수 방문 / 양기헌
  → 5층 자대기 확인증 프린터 전원이 안들어오고 있었음. 전원 케이블 재결합 후 정상작동 확인.</t>
    <phoneticPr fontId="11" type="noConversion"/>
  </si>
  <si>
    <t>신수현</t>
    <phoneticPr fontId="11" type="noConversion"/>
  </si>
  <si>
    <t>300H</t>
    <phoneticPr fontId="11" type="noConversion"/>
  </si>
  <si>
    <t xml:space="preserve"> * 유지보수 방문 / 양기헌
  → 도서 인식이 잘 안되어 바코드 스캐너 각도 조절.
  → 동일 증상 발생시 스캐너 교체 고려 필요.</t>
    <phoneticPr fontId="11" type="noConversion"/>
  </si>
  <si>
    <t>관리자 계정 비밀번호 초기화</t>
    <phoneticPr fontId="15" type="noConversion"/>
  </si>
  <si>
    <t>관리자 계정 로그인 시 비밀번호 오류로 확인됨 초기화 요청</t>
    <phoneticPr fontId="15" type="noConversion"/>
  </si>
  <si>
    <t>비밀번호 초기화 진행 도와드렸으며, 초기비밀번호 123456789a 로 설명드린 후 변경 요청</t>
    <phoneticPr fontId="15" type="noConversion"/>
  </si>
  <si>
    <t>소장자료 점검 문의</t>
    <phoneticPr fontId="15" type="noConversion"/>
  </si>
  <si>
    <t>안녕하세요, 공주도서관입니다.
통계와 열람-소장자료 관리에서 검색되는 도서 권수의 차이가 있어 문의드립니다.
통계 검색 값
입수구분: 적용안함
분류기호구분: 적용안함
행: 등록구분
열: 분류기호
배가일: 1924-01-01~2025-06-09
자료상태: 전체 선택(비치자료부터 재정리자료까지)
열람-소장자료 검색 값
코드적용 안함 선택 후 등록구분으로만 설정하여 검색(EMF, RMF 등)
검색 권수 차이나는 부분은 아래와 같습니다.
일반도서(EMF)
단행통계-소장통계 검색 값: 106,445
열람-소장자료 검색 값: 106,435
참고도서(RMF)
단행통계-소장통계 검색 값: 856
열람-소장자료 검색 값: 854
확인 부탁드립니다, 감사합니다.</t>
    <phoneticPr fontId="15" type="noConversion"/>
  </si>
  <si>
    <t>준회원과 비회원</t>
    <phoneticPr fontId="15" type="noConversion"/>
  </si>
  <si>
    <t>이용자 통계 확인시 준회원과 비회원 차이</t>
    <phoneticPr fontId="15" type="noConversion"/>
  </si>
  <si>
    <t>준회원은 회원가입은 했지만, 전자도서관 홈페이지만 이용하는 회원이고, 비회원은 옛날회원과 도서관측에서 임의로 사용하는 회원을 비회원이라고 설명</t>
    <phoneticPr fontId="15" type="noConversion"/>
  </si>
  <si>
    <t>비회원 통계</t>
    <phoneticPr fontId="15" type="noConversion"/>
  </si>
  <si>
    <t>통계 확인시 비회원 2명이 검색되지만 확인결과 비회원이 조회되지 않음</t>
    <phoneticPr fontId="15" type="noConversion"/>
  </si>
  <si>
    <t>자료검색대 PC 2대 중 1대 수리중이며, 오프라인 KLAS 설치 요청 하셔서 근로장학생 PC에 설치 도와드림 (설명서 복사본 현장에서 드림)</t>
    <phoneticPr fontId="15" type="noConversion"/>
  </si>
  <si>
    <t xml:space="preserve"> 25/05/21 15:40:37  SUK000000580 둘이서 함께 부록이 제적자료에서 파손자료로 변경 되어 차이가 나는것으로 확인 됩니다.
확인방법은
열람 - 소장자료관리 - 코드변경이력에서 확인 가능합니다. (전화안내드림)</t>
    <phoneticPr fontId="15" type="noConversion"/>
  </si>
  <si>
    <t>소장통계에서 통계 시 부록파손을 제적으로 바꿨는데 아직도 1차이가 남</t>
    <phoneticPr fontId="15" type="noConversion"/>
  </si>
  <si>
    <t>확인결과 EMK동양서 차이였고 부록은 불포함이라 부록은 상관이 없음 확인결과 EMK000108800 젊은 예술가의 초상 자료실은 [아산]2022년 폐기예정도서 이므로 25/06/04 15:56:20 정지인이름으로 제적자료가 파손자료로 변경이 된 것으로 확인됨 선생님과 전화로 안내드리고 함께 설명드림 코드변경이력이 확인이 되지않아 문자로 사진을 받았고, 확인결과 스크롤이 되지 않아 보이지 않았던것으로 확인되며, 출력건수를 10으로 두고 확인해야 옆에서 확인된다고 설명드림 추후 같은 일이 있을 경우 코드변경에서 확인요청하였으며, 전화로 통계 건수가 바뀌는것도 함께 확인하여 처리 완료</t>
    <phoneticPr fontId="15" type="noConversion"/>
  </si>
  <si>
    <t xml:space="preserve"> * 유선 안내 / 양기헌
  → 6.10.(화) 오전 방문 예정 안내. 포트 허용 신청 요청.
 * 6.10 내역 참고. 완료 처리.</t>
    <phoneticPr fontId="11" type="noConversion"/>
  </si>
  <si>
    <t>고영선</t>
    <phoneticPr fontId="11" type="noConversion"/>
  </si>
  <si>
    <t>2560HSC</t>
    <phoneticPr fontId="11" type="noConversion"/>
  </si>
  <si>
    <t>2층</t>
    <phoneticPr fontId="11" type="noConversion"/>
  </si>
  <si>
    <t xml:space="preserve"> * 6.4 내역 참고.</t>
    <phoneticPr fontId="11" type="noConversion"/>
  </si>
  <si>
    <t xml:space="preserve"> * 방문 / 양기헌
  → 대출반납 테스트 정상. 로그 특이사항 없음.
  → 도서를 1권씩 리더기에 올려서 테스트 진행. 담당자 참관.</t>
    <phoneticPr fontId="11" type="noConversion"/>
  </si>
  <si>
    <t>완료</t>
    <phoneticPr fontId="11" type="noConversion"/>
  </si>
  <si>
    <t>이수연</t>
    <phoneticPr fontId="11" type="noConversion"/>
  </si>
  <si>
    <t>1층</t>
    <phoneticPr fontId="11" type="noConversion"/>
  </si>
  <si>
    <t xml:space="preserve"> * 유지보수 방문 / 양기헌
  → 특이사항 없음.</t>
    <phoneticPr fontId="11" type="noConversion"/>
  </si>
  <si>
    <t>김응규</t>
    <phoneticPr fontId="11" type="noConversion"/>
  </si>
  <si>
    <t xml:space="preserve"> * 유지보수 방문 / 양기헌, 최혜경
  → 특이사항 없음.</t>
    <phoneticPr fontId="11" type="noConversion"/>
  </si>
  <si>
    <r>
      <t xml:space="preserve">직산(AS)
성거/도솔
</t>
    </r>
    <r>
      <rPr>
        <sz val="11"/>
        <color rgb="FF0070C0"/>
        <rFont val="맑은 고딕"/>
        <family val="3"/>
        <charset val="129"/>
      </rPr>
      <t>성환.</t>
    </r>
    <r>
      <rPr>
        <sz val="11"/>
        <color rgb="FF00B050"/>
        <rFont val="맑은 고딕"/>
        <family val="3"/>
        <charset val="129"/>
      </rPr>
      <t xml:space="preserve">
</t>
    </r>
    <r>
      <rPr>
        <sz val="11"/>
        <color rgb="FF0070C0"/>
        <rFont val="맑은 고딕"/>
        <family val="3"/>
        <charset val="129"/>
      </rPr>
      <t>평생교육원.</t>
    </r>
    <phoneticPr fontId="11" type="noConversion"/>
  </si>
  <si>
    <t>신성대학교 기숙사</t>
    <phoneticPr fontId="11" type="noConversion"/>
  </si>
  <si>
    <t>성헌경</t>
    <phoneticPr fontId="11" type="noConversion"/>
  </si>
  <si>
    <t xml:space="preserve"> * 6월 정기 유지보수</t>
    <phoneticPr fontId="11" type="noConversion"/>
  </si>
  <si>
    <t>완료</t>
    <phoneticPr fontId="11" type="noConversion"/>
  </si>
  <si>
    <r>
      <t xml:space="preserve"> * 유지보수 방문 / 양기헌
  → 1관 입구쪽 좌측 게이트 날개가 동작하지 않음 확인. 장비 내부 확인 결과 근접센서쪽에 나무젓가락이 끼여있어서 센서에 걸려 동작하지 못한것이었음.
  → </t>
    </r>
    <r>
      <rPr>
        <sz val="10"/>
        <color rgb="FFFF0000"/>
        <rFont val="맑은 고딕"/>
        <family val="3"/>
        <charset val="129"/>
      </rPr>
      <t>1관 입구쪽 우측 게이트 날개가 느리게 동작함. 근접센서 1세트 교체 필요 확인. 나이콤에 재고 요청. 부품 수령 후 재방문 예정 안내.</t>
    </r>
    <phoneticPr fontId="11" type="noConversion"/>
  </si>
  <si>
    <t>한춘숙</t>
    <phoneticPr fontId="11" type="noConversion"/>
  </si>
  <si>
    <t>3300R</t>
    <phoneticPr fontId="11" type="noConversion"/>
  </si>
  <si>
    <r>
      <t xml:space="preserve"> * 유지보수 방문 / 양기헌
  → 도서 20만권 기준 태깅용역 견적 요청(전산담당 양영민 선생님).
  → </t>
    </r>
    <r>
      <rPr>
        <sz val="10"/>
        <color rgb="FFFF0000"/>
        <rFont val="맑은 고딕"/>
        <family val="3"/>
        <charset val="129"/>
      </rPr>
      <t>견적서 메일로 발송 예정 안내.</t>
    </r>
    <phoneticPr fontId="11" type="noConversion"/>
  </si>
  <si>
    <t>건물 전체</t>
    <phoneticPr fontId="11" type="noConversion"/>
  </si>
  <si>
    <r>
      <t xml:space="preserve"> * 유지보수 방문 / 양기헌
  → </t>
    </r>
    <r>
      <rPr>
        <sz val="10"/>
        <color rgb="FFFF0000"/>
        <rFont val="맑은 고딕"/>
        <family val="3"/>
        <charset val="129"/>
      </rPr>
      <t>다음달 점검일에 1층 어린이자료실 2320 점자안내 스티커 부착 요청.</t>
    </r>
    <phoneticPr fontId="11" type="noConversion"/>
  </si>
  <si>
    <t>김민진</t>
    <phoneticPr fontId="11" type="noConversion"/>
  </si>
  <si>
    <t>장비 전체</t>
    <phoneticPr fontId="11" type="noConversion"/>
  </si>
  <si>
    <t xml:space="preserve"> * 유지보수 방문 / 양기헌
  → 3층 2550 시스템 사운드 꺼놓고 사용중.</t>
    <phoneticPr fontId="11" type="noConversion"/>
  </si>
  <si>
    <r>
      <t xml:space="preserve">신성대 기숙사
단국대
천안중앙
쌍용
</t>
    </r>
    <r>
      <rPr>
        <sz val="11"/>
        <color rgb="FF0070C0"/>
        <rFont val="맑은 고딕"/>
        <family val="3"/>
        <charset val="129"/>
      </rPr>
      <t>학생교육원.</t>
    </r>
    <r>
      <rPr>
        <sz val="11"/>
        <color rgb="FF00B050"/>
        <rFont val="맑은 고딕"/>
        <family val="3"/>
        <charset val="129"/>
      </rPr>
      <t xml:space="preserve"> 
</t>
    </r>
    <r>
      <rPr>
        <sz val="11"/>
        <color rgb="FF0070C0"/>
        <rFont val="맑은 고딕"/>
        <family val="3"/>
        <charset val="129"/>
      </rPr>
      <t>금산,서천,부여</t>
    </r>
    <phoneticPr fontId="11" type="noConversion"/>
  </si>
  <si>
    <r>
      <rPr>
        <sz val="11"/>
        <color theme="1"/>
        <rFont val="Malgun Gothic"/>
        <family val="3"/>
        <charset val="129"/>
      </rPr>
      <t xml:space="preserve">아산중앙
</t>
    </r>
    <r>
      <rPr>
        <sz val="11"/>
        <color rgb="FF7030A0"/>
        <rFont val="Malgun Gothic"/>
        <family val="3"/>
        <charset val="129"/>
      </rPr>
      <t>세종시립</t>
    </r>
    <r>
      <rPr>
        <sz val="11"/>
        <color rgb="FF00B050"/>
        <rFont val="Malgun Gothic"/>
        <family val="3"/>
        <charset val="129"/>
      </rPr>
      <t xml:space="preserve">
            </t>
    </r>
    <phoneticPr fontId="11" type="noConversion"/>
  </si>
  <si>
    <r>
      <t xml:space="preserve">세종중앙공원(AS)
보람동/소담동/나성동
홍익대_세종
</t>
    </r>
    <r>
      <rPr>
        <sz val="11"/>
        <color rgb="FF7030A0"/>
        <rFont val="맑은 고딕"/>
        <family val="3"/>
        <charset val="129"/>
      </rPr>
      <t xml:space="preserve">소담동.
</t>
    </r>
    <r>
      <rPr>
        <sz val="11"/>
        <color rgb="FF0070C0"/>
        <rFont val="맑은 고딕"/>
        <family val="3"/>
        <charset val="129"/>
      </rPr>
      <t>홍성,예산,청양</t>
    </r>
    <r>
      <rPr>
        <sz val="11"/>
        <color rgb="FF00B050"/>
        <rFont val="맑은 고딕"/>
        <family val="3"/>
        <charset val="129"/>
      </rPr>
      <t xml:space="preserve"> </t>
    </r>
    <phoneticPr fontId="11" type="noConversion"/>
  </si>
  <si>
    <r>
      <rPr>
        <sz val="11"/>
        <color rgb="FF00B050"/>
        <rFont val="Malgun Gothic"/>
        <family val="3"/>
        <charset val="129"/>
      </rPr>
      <t>국립세종(AS)</t>
    </r>
    <r>
      <rPr>
        <sz val="11"/>
        <color rgb="FF0070C0"/>
        <rFont val="Malgun Gothic"/>
        <family val="3"/>
        <charset val="129"/>
      </rPr>
      <t xml:space="preserve">
태안,해미
서부평생</t>
    </r>
    <phoneticPr fontId="11" type="noConversion"/>
  </si>
  <si>
    <t>오류 반복(★답변확인요망)</t>
    <phoneticPr fontId="15" type="noConversion"/>
  </si>
  <si>
    <t>해당 부분은 작업하시는 컴퓨터 사양이나 네트워크 환경에 따라서 안 올라가는 것으로 판단됩니다.
(300MB이상 부터 고용량인 것은 용량 줄여서 300MB이하로 올려주세요.) 
용량을 줄여서 다시 올려주세요.</t>
    <phoneticPr fontId="15" type="noConversion"/>
  </si>
  <si>
    <t>웹부킹PC 좌석 2,16,12,13수정으로 123으로 맞춰드림</t>
    <phoneticPr fontId="15" type="noConversion"/>
  </si>
  <si>
    <t>상호대차 신청버튼</t>
    <phoneticPr fontId="15" type="noConversion"/>
  </si>
  <si>
    <t>안녕하세요, 서천도서관 김한슬입니다.
상호대차 신청 버튼이 홈페이지에서도, 케이라스에서도 보이지 않아 문의 드립니다.
관리자 계정-대출환경설정-자료 제한 설정에서 상호대차가 Y로 되어있는지 확인했는데 일반도서, 아동도서 모두 Y였습니다.
확인 부탁드립니다.
감사합니다.</t>
    <phoneticPr fontId="15" type="noConversion"/>
  </si>
  <si>
    <t xml:space="preserve"> 이상없음 현장방문을 통해 확인함.</t>
    <phoneticPr fontId="15" type="noConversion"/>
  </si>
  <si>
    <t>원콜에 올라온 내용이 있어 현장방문시에 함께 확인도와드렸지만 따로 이상없는것으로 확인됨</t>
    <phoneticPr fontId="15" type="noConversion"/>
  </si>
  <si>
    <t>장서점검을 위한 전체 장서 목록 요청</t>
    <phoneticPr fontId="15" type="noConversion"/>
  </si>
  <si>
    <t>안녕하세요.
장서점검 계획 수립과 사전 준비 위한 도서 UID를 포함한 장서정보를 요청드립니다.
UID, 등록번호, 청구기호, 도서명, 저자명, 발행자, 발행년도, 자료실, 자료상태, 배가일자 등의 정보를 부탁드립니다.
분량이 많아 여러 파일로 분할해서 보내주시면 감사하겠습니다.
메일 jhr0822@korea.kr
감사합니다.</t>
    <phoneticPr fontId="15" type="noConversion"/>
  </si>
  <si>
    <t>장서점검 계획일자는 7/7 이며, 요청 자료는 6/11기준으로 한번 추후 7/7전에 한번도 요청</t>
    <phoneticPr fontId="15" type="noConversion"/>
  </si>
  <si>
    <t>이름: 이정민
아이디: rico599
상호대차 횟수 1회 복구 부탁드립니다</t>
    <phoneticPr fontId="15" type="noConversion"/>
  </si>
  <si>
    <t xml:space="preserve"> 흔한남매 13. 서부평생교육원 도서 상호대차 횟수 1회 복구 도와드렸습니다.</t>
    <phoneticPr fontId="15" type="noConversion"/>
  </si>
  <si>
    <t>홈페이지 아이콘 링크 오류</t>
    <phoneticPr fontId="15" type="noConversion"/>
  </si>
  <si>
    <t>학생교육문화원 홈페이지 메인에 책바다랑 책나래 아이콘 클릭시 링크가 제대로 작동하지 않습니다.
링크 확인부탁드릴게요.
1. 책바다:
https://books.nl.go.kr/
2. 책나래:
https://cn.nld.go.kr/index.do</t>
    <phoneticPr fontId="15" type="noConversion"/>
  </si>
  <si>
    <t>이용자께서 상호대차 신청을 하셨다가 제공도서관 신청을 잘못하셔서 취소를 하시고 다시 신청을 하려고 하셨는데 신청버튼이 사라지셨다고하셔서, KLAS에서 신청을 도와드리려고 했으나 KLAS에서도 신청이 되지 않는 상태</t>
    <phoneticPr fontId="15" type="noConversion"/>
  </si>
  <si>
    <t>상호대차  정지시 일반도서는 어떻게 정지를 해야되는지</t>
    <phoneticPr fontId="15" type="noConversion"/>
  </si>
  <si>
    <t>일반도서는 자료실과 등록구분으로 설정해주셔야됩니다. 전화 처리완료</t>
    <phoneticPr fontId="15" type="noConversion"/>
  </si>
  <si>
    <t>마스킹처리</t>
    <phoneticPr fontId="15" type="noConversion"/>
  </si>
  <si>
    <t>정기점검 방문시 근로학생들 아이디 마스킹 처리 되는부분이 개선이 되는지</t>
    <phoneticPr fontId="15" type="noConversion"/>
  </si>
  <si>
    <t>확인결과 개인정보라 민감한 부분이다 보니 마스킹처리가 다 되어야 맞는 상황 개선이 될 수 없다는 답변 선생님께 전화로 답변 완료</t>
    <phoneticPr fontId="15" type="noConversion"/>
  </si>
  <si>
    <t>현재 권차기호 및 편/권차에 로마자가 기입되어 있는 경우, 색인이 누락되고 소장자료관리에서 검색되지 않는 문제가 발생하는 것으로 확인되었습니다. 
이에 해당하는 12건의 자료를 확인하여 조치 및 재색인 처리 완료했으며, 현재 소장자료관리에서 검색되는 건수와 소장통계 건수가 동일한 것으로 확인됩니다.
해당 오류에 대해 개선 접수 하였으며, 12건의 등록번호 첨부드리니 참고 부탁드립니다.
-소장자룍관리에서 검색 누락되었던 등록번호 총 12건 (EMF 10건, RMF 2건)
EMF000052701
EMF000056119
EMF000056120
EMF000056121
EMF000056122
EMF000056123
EMF000056124
EMF000087510
EMF000107277
EMF000107282
RMF000000501
RMF000000502
감사합니다.</t>
    <phoneticPr fontId="15" type="noConversion"/>
  </si>
  <si>
    <t>통계를 낼 시에 탈퇴회원을 비회원으로 통계를 내서 이용자관리에서 비회원으로 조회했을시 확인이 불가했던것으로 확인됨/회원상태가 비회원인 경우도 통계에 잡히는것으로 확인되며 탈퇴 통계와 다를수 밖에 없는이유는 이용자 통계는 가입일자 통계지만 탈퇴통계는 탈퇴일 통계라 다를수 밖에 없음</t>
    <phoneticPr fontId="15" type="noConversion"/>
  </si>
  <si>
    <t>관리자 계정 로그인시 로그인 실패 현상</t>
    <phoneticPr fontId="15" type="noConversion"/>
  </si>
  <si>
    <t>이문희 주무관님 과 전화로 처리완료                     함께 원격접속으로 확인 했으며, 정상적으로 로그인 됨. 관리자 계정 초기화 같은 경우는 어떤 도서관도 마찬가지로 비젼쪽 문의 주셔야되지만 사용자 정보는 관리자 계정에서 사용자정보에 사용자 아이디 입력 후 가능하다고 설명드림.</t>
    <phoneticPr fontId="15" type="noConversion"/>
  </si>
  <si>
    <t xml:space="preserve">첨부파일의 이용자의 상호대차 취소건 횟수 복구를 요청합니다. </t>
    <phoneticPr fontId="15" type="noConversion"/>
  </si>
  <si>
    <t>이용자 아이디 : naarock
이용자 성함 : 최지은
1.고독한 용의자 : 찬호께이 장편소설 /충청남도보령교육지원청보령도서관
2.라스트 젤리 샷 : 청예 장편소설/충청남도보령교육지원청보령도서관
3.인형의 정원 : 서미애 장편소설 /충청남도보령교육지원청보령도서관
이용자 아이디 : jicf8456
이용자 성함 : 이진우
1.사진, 예술로 가는 길 : 창조적 사진을 위한 실제적인 조언 /충청남도부여교육지원청부여도서관
이용자 아이디 : hesjjang2
이용자 성함 : 한정미
1.대온실 수리 보고서/충청남도교육청교육과정평가정보원 문헌정보자료실
이용자 아이디 : richmom2
이용자 성함 : 김은숙
1.행동은 불안을 이긴다 : 의지박약과 만성적 미루기에서 벗어나는 아주 작은 행동 설계/충청남도홍성교육지원청홍성도서관
이용자 아이디 : jjh921218
이용자 성함 : 정종혁
1.체육관의 살인/충청남도부여교육지원청부여도서관
이용자 아이디 : ez4happy
이용자 성함 : 노승호
1.(만화로 아주 쉽게 배우는)통계학/충청남도금산교육지원청금산도서관
이용자 아이디 : 백승우
이용자 성함 : pkhpkh3
1.마법천자문 : 손오공의 한자 대탐험. 66, 다시 살아 돌아오다! 부활 復活 /충청남도서천교육지원청서천도서관
이용자 아이디 : minheekim
이용자 성함 : 김민희
1.(날마다 만나는)10분 윤리동화/충청남도교육청남부평생교육원 충청남도청양교육지원청청양도서관
이용자 아이디 : changsarang
이용자 성함 : 이창현
1.ETF 처음공부 : 주식, 채권부터 달러, 골드, 부동산까지 바로 써먹는/충청남도예산교육지원청예산도서관
이은옥,정현수,윤다은 이용자는 홈페이지가 아닌 리브로피아에서 접수가 된 것 같습니다.
나머지 이용자 분들은 횟수 복구 해드렸습니다.
상호대차 횟수 복구는 이용자 성함, 이용자 아이디, 도서제목, 등록번호, 제공 도서관 기재 부탁드립니다.</t>
    <phoneticPr fontId="15" type="noConversion"/>
  </si>
  <si>
    <t>김재우</t>
    <phoneticPr fontId="11" type="noConversion"/>
  </si>
  <si>
    <t>1층 로비</t>
    <phoneticPr fontId="11" type="noConversion"/>
  </si>
  <si>
    <r>
      <t xml:space="preserve">순천향
아산중앙
은행나무길
</t>
    </r>
    <r>
      <rPr>
        <sz val="11"/>
        <color rgb="FF0070C0"/>
        <rFont val="맑은 고딕"/>
        <family val="3"/>
        <charset val="129"/>
      </rPr>
      <t xml:space="preserve">아산도서관.
</t>
    </r>
    <r>
      <rPr>
        <sz val="11"/>
        <color rgb="FF7030A0"/>
        <rFont val="맑은 고딕"/>
        <family val="3"/>
        <charset val="129"/>
      </rPr>
      <t>장군면,어진동</t>
    </r>
    <r>
      <rPr>
        <sz val="11"/>
        <color rgb="FF0070C0"/>
        <rFont val="맑은 고딕"/>
        <family val="3"/>
        <charset val="129"/>
      </rPr>
      <t xml:space="preserve">
공주,유구</t>
    </r>
    <r>
      <rPr>
        <sz val="11"/>
        <color rgb="FF00B050"/>
        <rFont val="맑은 고딕"/>
        <family val="3"/>
        <charset val="129"/>
      </rPr>
      <t xml:space="preserve">
</t>
    </r>
    <phoneticPr fontId="11" type="noConversion"/>
  </si>
  <si>
    <t xml:space="preserve"> * 유지보수 방문 / 양기헌
  → 제습제 프린터 상부에 비치
  → 모니터부 이음부 벌어진곳 막음 작업.</t>
    <phoneticPr fontId="11" type="noConversion"/>
  </si>
  <si>
    <t>완료</t>
    <phoneticPr fontId="11" type="noConversion"/>
  </si>
  <si>
    <t>3층</t>
    <phoneticPr fontId="11" type="noConversion"/>
  </si>
  <si>
    <t>허소연</t>
    <phoneticPr fontId="11" type="noConversion"/>
  </si>
  <si>
    <t>장비 전체</t>
    <phoneticPr fontId="11" type="noConversion"/>
  </si>
  <si>
    <t>310S</t>
    <phoneticPr fontId="11" type="noConversion"/>
  </si>
  <si>
    <t>2층</t>
    <phoneticPr fontId="11" type="noConversion"/>
  </si>
  <si>
    <t xml:space="preserve"> * 유선 접수 / 양기헌
  → 나이콤 김소혜 대리 전달
  → 조금 크고 무거운 도서를 반납할 경우 도서가 적재함에 그냥 떨어지고 반납 처리가 안된다고 함.</t>
    <phoneticPr fontId="11" type="noConversion"/>
  </si>
  <si>
    <r>
      <t xml:space="preserve">KDI
남부평생
국립세종(AS)
</t>
    </r>
    <r>
      <rPr>
        <sz val="11"/>
        <color rgb="FF0070C0"/>
        <rFont val="Malgun Gothic"/>
        <family val="3"/>
        <charset val="129"/>
      </rPr>
      <t>남부평생.</t>
    </r>
    <phoneticPr fontId="11" type="noConversion"/>
  </si>
  <si>
    <r>
      <t>논산열린</t>
    </r>
    <r>
      <rPr>
        <sz val="11"/>
        <color rgb="FF0070C0"/>
        <rFont val="맑은 고딕"/>
        <family val="3"/>
        <charset val="129"/>
      </rPr>
      <t xml:space="preserve">
</t>
    </r>
    <r>
      <rPr>
        <sz val="11"/>
        <color rgb="FF00B050"/>
        <rFont val="맑은 고딕"/>
        <family val="3"/>
        <charset val="129"/>
      </rPr>
      <t xml:space="preserve">어진동복컴
싱싱장터
</t>
    </r>
    <r>
      <rPr>
        <sz val="11"/>
        <color rgb="FF7030A0"/>
        <rFont val="맑은 고딕"/>
        <family val="3"/>
        <charset val="129"/>
      </rPr>
      <t>싱싱장터.</t>
    </r>
    <r>
      <rPr>
        <sz val="11"/>
        <color rgb="FF00B050"/>
        <rFont val="맑은 고딕"/>
        <family val="3"/>
        <charset val="129"/>
      </rPr>
      <t xml:space="preserve">
 </t>
    </r>
    <phoneticPr fontId="11" type="noConversion"/>
  </si>
  <si>
    <r>
      <rPr>
        <sz val="11"/>
        <color rgb="FF00B050"/>
        <rFont val="Malgun Gothic"/>
        <family val="3"/>
        <charset val="129"/>
      </rPr>
      <t xml:space="preserve">서산시립
당진중앙
신성대 기숙사(AS)
</t>
    </r>
    <r>
      <rPr>
        <sz val="11"/>
        <color rgb="FF0070C0"/>
        <rFont val="Malgun Gothic"/>
        <family val="3"/>
        <charset val="129"/>
      </rPr>
      <t>당진도서관.</t>
    </r>
    <r>
      <rPr>
        <sz val="11"/>
        <color theme="4"/>
        <rFont val="Malgun Gothic"/>
        <family val="3"/>
        <charset val="129"/>
      </rPr>
      <t xml:space="preserve">
보령,웅천</t>
    </r>
    <phoneticPr fontId="11" type="noConversion"/>
  </si>
  <si>
    <t>게시판 첨부파일 용량 관련 문의</t>
    <phoneticPr fontId="11" type="noConversion"/>
  </si>
  <si>
    <t xml:space="preserve"> 안녕하세요 평생교육원 문헌정보부입니다.
 평생교육원 누리집
 상단 메뉴 '독서문화-학교지원프로그램-독후활동자료집' 게시판을
 이용객들이 자유롭게 자료를 내려받을 수 있는 용도로 만들어주셨는데요,
 (4817번 게시물 참고)
 해당 게시판에 500mb까지 자료를 올릴 수 있게 조치 해 주셨다고 하셨는데
 94mb짜리 자료도 첨부가 되지 않습니다.
 고용량 파일도 첨부할 수 있게끔
 확인 및 조치 부탁드리겠습니다.
 감사합니다.</t>
    <phoneticPr fontId="11" type="noConversion"/>
  </si>
  <si>
    <t>대출반납이 안됨</t>
    <phoneticPr fontId="15" type="noConversion"/>
  </si>
  <si>
    <t>어제부터 대출반납 RFID가 안됨 태깅작업중 인식이 되지않음</t>
    <phoneticPr fontId="15" type="noConversion"/>
  </si>
  <si>
    <t>원격연결을 통하여 확인 결과 ECO프로그램과 연동이 되지 않는것으로 확인됨 채움과 함께 원격으로 확인했지만 계속 실패하여 링캠에 문의 넣은 상태</t>
    <phoneticPr fontId="15" type="noConversion"/>
  </si>
  <si>
    <t>25.06.16</t>
    <phoneticPr fontId="11" type="noConversion"/>
  </si>
  <si>
    <t>허성회</t>
    <phoneticPr fontId="11" type="noConversion"/>
  </si>
  <si>
    <t>2, 3층</t>
    <phoneticPr fontId="11" type="noConversion"/>
  </si>
  <si>
    <t>김기균</t>
    <phoneticPr fontId="11" type="noConversion"/>
  </si>
  <si>
    <t>이일중</t>
    <phoneticPr fontId="11" type="noConversion"/>
  </si>
  <si>
    <t>1500S</t>
    <phoneticPr fontId="11" type="noConversion"/>
  </si>
  <si>
    <t>950SL</t>
    <phoneticPr fontId="11" type="noConversion"/>
  </si>
  <si>
    <t>현장에서 확인 했을때는 대출시 느린현상이 있고 반납시에는 대출보다는 빠른것으로 확인됨</t>
    <phoneticPr fontId="15" type="noConversion"/>
  </si>
  <si>
    <t>대출반납시 아직도 느린현상이 있음</t>
    <phoneticPr fontId="15" type="noConversion"/>
  </si>
  <si>
    <t xml:space="preserve">정기 점검하였으나 이상 없음
</t>
    <phoneticPr fontId="15" type="noConversion"/>
  </si>
  <si>
    <t>양과장님 방문</t>
    <phoneticPr fontId="11" type="noConversion"/>
  </si>
  <si>
    <r>
      <t xml:space="preserve">고운동/연동면
세종시립
세종중앙공원
</t>
    </r>
    <r>
      <rPr>
        <sz val="11"/>
        <color rgb="FF7030A0"/>
        <rFont val="Malgun Gothic"/>
        <family val="3"/>
        <charset val="129"/>
      </rPr>
      <t>아름동,종촌동,싱싱장터,연동면,한솔동</t>
    </r>
    <phoneticPr fontId="11" type="noConversion"/>
  </si>
  <si>
    <r>
      <t xml:space="preserve">법제처
KDI(AS)
한기대
은행나무길(AS)                          </t>
    </r>
    <r>
      <rPr>
        <sz val="11"/>
        <color rgb="FF7030A0"/>
        <rFont val="Malgun Gothic"/>
        <family val="3"/>
        <charset val="129"/>
      </rPr>
      <t>새롬동,다정동,고운남측,도담동,고운동,나성동</t>
    </r>
    <phoneticPr fontId="11" type="noConversion"/>
  </si>
  <si>
    <r>
      <t xml:space="preserve">육군본부(AS)
</t>
    </r>
    <r>
      <rPr>
        <sz val="11"/>
        <color rgb="FF7030A0"/>
        <rFont val="Malgun Gothic"/>
        <family val="3"/>
        <charset val="129"/>
      </rPr>
      <t xml:space="preserve">보람동,해밀동,반곡동,대평동,책문화 </t>
    </r>
    <r>
      <rPr>
        <sz val="11"/>
        <color rgb="FF00B050"/>
        <rFont val="Malgun Gothic"/>
        <family val="3"/>
        <charset val="129"/>
      </rPr>
      <t xml:space="preserve">        </t>
    </r>
    <phoneticPr fontId="11" type="noConversion"/>
  </si>
  <si>
    <t>2027년 이전예정 (확실x)</t>
    <phoneticPr fontId="11" type="noConversion"/>
  </si>
  <si>
    <t>2029년 재건축 예정</t>
    <phoneticPr fontId="11" type="noConversion"/>
  </si>
  <si>
    <t>2026년 이전예정</t>
    <phoneticPr fontId="11" type="noConversion"/>
  </si>
  <si>
    <t>법제처</t>
    <phoneticPr fontId="11" type="noConversion"/>
  </si>
  <si>
    <t xml:space="preserve"> * 유선 안내 / 양기헌
  → 일정 확인 후 방문 예정 안내.
 * 6.16 내역 참고. 완료 처리.
</t>
    <phoneticPr fontId="11" type="noConversion"/>
  </si>
  <si>
    <t xml:space="preserve"> * 6.12 내역 참고.</t>
    <phoneticPr fontId="11" type="noConversion"/>
  </si>
  <si>
    <t xml:space="preserve"> * 방문 / 양기헌
  → 안테나 트레이 동작 정상. 텐션이 살짝 약하나 이전과 다르지 않음. 필요시 본사 요청하여 텐션 스프링으로 교체 가능(이준혁 차장)</t>
    <phoneticPr fontId="11" type="noConversion"/>
  </si>
  <si>
    <t>완료</t>
    <phoneticPr fontId="11" type="noConversion"/>
  </si>
  <si>
    <t>최혜옥</t>
    <phoneticPr fontId="11" type="noConversion"/>
  </si>
  <si>
    <t>장비 전체</t>
    <phoneticPr fontId="11" type="noConversion"/>
  </si>
  <si>
    <t>4층</t>
    <phoneticPr fontId="11" type="noConversion"/>
  </si>
  <si>
    <t xml:space="preserve"> * 유지보수 방문 / 양기헌
  → 분실방지기 부정도서 팝업이 안나옴. 장비 전원 재부팅 후 정상작동 확인. 카운팅은 되나 부정도서 알람이 동작하고 있지 않았음.</t>
    <phoneticPr fontId="11" type="noConversion"/>
  </si>
  <si>
    <t xml:space="preserve"> * 3단 카세트 초기화 실패 문자 확인</t>
    <phoneticPr fontId="11" type="noConversion"/>
  </si>
  <si>
    <t xml:space="preserve"> * 방문 / 양기헌
  → 3단에 얇은 도서 확인. 제거 후 반납처리.
  → 부스 에어컨 작동하고 있지 않았음(내부온도 35도). 에어컨 작동.
  → 장비 UPS에서 소리가 나고 있었음. 초기화 완료.
  → 테스트 및 정상작동 확인.</t>
    <phoneticPr fontId="11" type="noConversion"/>
  </si>
  <si>
    <t>건물 전체</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</si>
</sst>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 #,##0_-;_-* &quot;-&quot;_-;_-@_-"/>
    <numFmt numFmtId="176" formatCode="mm&quot;월&quot;\ dd&quot;일&quot;"/>
    <numFmt numFmtId="177" formatCode="d"/>
    <numFmt numFmtId="178" formatCode="m&quot;월&quot;\ d&quot;일&quot;"/>
  </numFmts>
  <fonts count="88">
    <font>
      <sz val="11"/>
      <color rgb="FF000000"/>
      <name val="맑은 고딕"/>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굴림"/>
      <family val="3"/>
      <charset val="129"/>
    </font>
    <font>
      <b/>
      <sz val="9"/>
      <color rgb="FF000000"/>
      <name val="굴림"/>
      <family val="3"/>
      <charset val="129"/>
    </font>
    <font>
      <sz val="10"/>
      <color rgb="FF000000"/>
      <name val="맑은 고딕"/>
      <family val="3"/>
      <charset val="129"/>
    </font>
    <font>
      <sz val="14"/>
      <color rgb="FF000000"/>
      <name val="굴림"/>
      <family val="3"/>
      <charset val="129"/>
    </font>
    <font>
      <b/>
      <sz val="22"/>
      <color rgb="FF000000"/>
      <name val="굴림"/>
      <family val="3"/>
      <charset val="129"/>
    </font>
    <font>
      <sz val="9"/>
      <color rgb="FFFF0000"/>
      <name val="굴림"/>
      <family val="3"/>
      <charset val="129"/>
    </font>
    <font>
      <strike/>
      <sz val="9"/>
      <color rgb="FF000000"/>
      <name val="굴림"/>
      <family val="3"/>
      <charset val="129"/>
    </font>
    <font>
      <sz val="8"/>
      <name val="돋움"/>
      <family val="3"/>
      <charset val="129"/>
    </font>
    <font>
      <sz val="10"/>
      <color rgb="FF000000"/>
      <name val="굴림"/>
      <family val="3"/>
      <charset val="129"/>
    </font>
    <font>
      <sz val="11"/>
      <color theme="1"/>
      <name val="맑은 고딕"/>
      <family val="2"/>
      <charset val="129"/>
      <scheme val="minor"/>
    </font>
    <font>
      <sz val="8"/>
      <name val="나눔명조"/>
      <family val="3"/>
      <charset val="129"/>
    </font>
    <font>
      <sz val="8"/>
      <name val="맑은 고딕"/>
      <family val="2"/>
      <charset val="129"/>
      <scheme val="minor"/>
    </font>
    <font>
      <u/>
      <sz val="11"/>
      <color theme="10"/>
      <name val="맑은 고딕"/>
      <family val="2"/>
      <charset val="129"/>
      <scheme val="minor"/>
    </font>
    <font>
      <sz val="11"/>
      <color theme="1" tint="0.24994659260841701"/>
      <name val="Malgun Gothic"/>
      <family val="2"/>
    </font>
    <font>
      <sz val="35"/>
      <color theme="4"/>
      <name val="Malgun Gothic"/>
      <family val="2"/>
    </font>
    <font>
      <sz val="35"/>
      <color theme="4"/>
      <name val="G마켓 산스 Bold"/>
      <family val="3"/>
      <charset val="129"/>
    </font>
    <font>
      <sz val="11"/>
      <color theme="4" tint="-0.24994659260841701"/>
      <name val="Malgun Gothic"/>
      <family val="2"/>
    </font>
    <font>
      <sz val="10"/>
      <name val="Malgun Gothic"/>
      <family val="2"/>
    </font>
    <font>
      <sz val="12"/>
      <color theme="4" tint="-0.24994659260841701"/>
      <name val="Malgun Gothic"/>
      <family val="2"/>
    </font>
    <font>
      <sz val="10"/>
      <name val="Malgun Gothic"/>
      <family val="3"/>
      <charset val="129"/>
    </font>
    <font>
      <sz val="11"/>
      <color theme="1" tint="0.34998626667073579"/>
      <name val="Malgun Gothic"/>
      <family val="2"/>
    </font>
    <font>
      <sz val="11"/>
      <name val="Malgun Gothic"/>
      <family val="2"/>
    </font>
    <font>
      <b/>
      <sz val="11"/>
      <color theme="1" tint="0.34998626667073579"/>
      <name val="Malgun Gothic"/>
      <family val="2"/>
    </font>
    <font>
      <sz val="11"/>
      <color theme="1" tint="0.24994659260841701"/>
      <name val="Malgun Gothic"/>
      <family val="3"/>
      <charset val="129"/>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1"/>
      <color theme="1"/>
      <name val="Malgun Gothic"/>
      <family val="2"/>
    </font>
    <font>
      <sz val="11"/>
      <color rgb="FFFF0000"/>
      <name val="Malgun Gothic"/>
      <family val="2"/>
    </font>
    <font>
      <sz val="11"/>
      <color rgb="FF0070C0"/>
      <name val="Malgun Gothic"/>
      <family val="2"/>
    </font>
    <font>
      <sz val="11"/>
      <color rgb="FFFF0000"/>
      <name val="맑은 고딕"/>
      <family val="3"/>
      <charset val="129"/>
    </font>
    <font>
      <sz val="11"/>
      <color rgb="FF00B050"/>
      <name val="맑은 고딕"/>
      <family val="3"/>
      <charset val="129"/>
    </font>
    <font>
      <sz val="11"/>
      <color rgb="FF00B050"/>
      <name val="Malgun Gothic"/>
      <family val="3"/>
      <charset val="129"/>
    </font>
    <font>
      <sz val="11"/>
      <color rgb="FFFF0000"/>
      <name val="Malgun Gothic"/>
      <family val="3"/>
      <charset val="129"/>
    </font>
    <font>
      <sz val="11"/>
      <color rgb="FF0070C0"/>
      <name val="Malgun Gothic"/>
      <family val="3"/>
      <charset val="129"/>
    </font>
    <font>
      <sz val="11"/>
      <color theme="4"/>
      <name val="Malgun Gothic"/>
      <family val="3"/>
      <charset val="129"/>
    </font>
    <font>
      <sz val="11"/>
      <color rgb="FF0070C0"/>
      <name val="맑은 고딕"/>
      <family val="3"/>
      <charset val="129"/>
    </font>
    <font>
      <sz val="11"/>
      <color rgb="FFFF40FF"/>
      <name val="Malgun Gothic"/>
      <family val="2"/>
    </font>
    <font>
      <sz val="10"/>
      <name val="맑은 고딕"/>
      <family val="3"/>
      <charset val="129"/>
    </font>
    <font>
      <sz val="11"/>
      <name val="Malgun Gothic"/>
      <family val="3"/>
      <charset val="129"/>
    </font>
    <font>
      <sz val="11"/>
      <color theme="4"/>
      <name val="맑은 고딕"/>
      <family val="3"/>
      <charset val="129"/>
    </font>
    <font>
      <sz val="11"/>
      <color rgb="FF000000"/>
      <name val="맑은 고딕"/>
      <family val="3"/>
      <charset val="129"/>
    </font>
    <font>
      <sz val="10"/>
      <color rgb="FFFF0000"/>
      <name val="맑은 고딕"/>
      <family val="3"/>
      <charset val="129"/>
    </font>
    <font>
      <sz val="11"/>
      <name val="맑은 고딕"/>
      <family val="3"/>
      <charset val="129"/>
    </font>
    <font>
      <u/>
      <sz val="11"/>
      <color theme="10"/>
      <name val="맑은 고딕"/>
      <family val="3"/>
      <charset val="129"/>
    </font>
    <font>
      <sz val="11"/>
      <color theme="1"/>
      <name val="Malgun Gothic"/>
      <family val="3"/>
      <charset val="129"/>
    </font>
    <font>
      <sz val="10"/>
      <color theme="1"/>
      <name val="굴림"/>
      <family val="3"/>
      <charset val="129"/>
    </font>
    <font>
      <sz val="14"/>
      <name val="돋음"/>
      <family val="3"/>
      <charset val="129"/>
    </font>
    <font>
      <sz val="11"/>
      <color rgb="FF000000"/>
      <name val="맑은 고딕"/>
      <family val="2"/>
      <charset val="129"/>
    </font>
    <font>
      <sz val="9"/>
      <color rgb="FF000000"/>
      <name val="굴림"/>
      <family val="2"/>
      <charset val="129"/>
    </font>
    <font>
      <b/>
      <sz val="11"/>
      <color rgb="FF000000"/>
      <name val="맑은 고딕"/>
      <family val="2"/>
      <charset val="129"/>
    </font>
    <font>
      <sz val="11"/>
      <color theme="4"/>
      <name val="Malgun Gothic"/>
      <family val="2"/>
    </font>
    <font>
      <sz val="14"/>
      <name val="돋움"/>
      <family val="3"/>
      <charset val="129"/>
    </font>
    <font>
      <b/>
      <sz val="14"/>
      <name val="돋움"/>
      <family val="3"/>
      <charset val="129"/>
    </font>
    <font>
      <sz val="14"/>
      <name val="맑은 고딕"/>
      <family val="3"/>
      <charset val="129"/>
      <scheme val="minor"/>
    </font>
    <font>
      <sz val="11"/>
      <color theme="1"/>
      <name val="맑은 고딕"/>
      <family val="3"/>
      <charset val="129"/>
    </font>
    <font>
      <sz val="14"/>
      <name val="Yu Gothic"/>
      <family val="3"/>
      <charset val="128"/>
    </font>
    <font>
      <sz val="14"/>
      <name val="Tahoma"/>
      <family val="3"/>
      <charset val="1"/>
    </font>
    <font>
      <u/>
      <sz val="11"/>
      <name val="맑은 고딕"/>
      <family val="2"/>
      <charset val="129"/>
      <scheme val="minor"/>
    </font>
    <font>
      <sz val="11"/>
      <name val="맑은 고딕"/>
      <family val="2"/>
      <charset val="129"/>
      <scheme val="minor"/>
    </font>
    <font>
      <sz val="9"/>
      <color theme="1"/>
      <name val="굴림"/>
      <family val="3"/>
      <charset val="129"/>
    </font>
    <font>
      <sz val="10"/>
      <color theme="1"/>
      <name val="맑은 고딕"/>
      <family val="3"/>
      <charset val="129"/>
    </font>
    <font>
      <sz val="11"/>
      <color theme="5"/>
      <name val="Malgun Gothic"/>
      <family val="3"/>
      <charset val="129"/>
    </font>
    <font>
      <sz val="11"/>
      <color theme="5"/>
      <name val="맑은 고딕"/>
      <family val="3"/>
      <charset val="129"/>
    </font>
    <font>
      <sz val="11"/>
      <color rgb="FF7030A0"/>
      <name val="Malgun Gothic"/>
      <family val="3"/>
      <charset val="129"/>
    </font>
    <font>
      <sz val="11"/>
      <color rgb="FF7030A0"/>
      <name val="맑은 고딕"/>
      <family val="3"/>
      <charset val="129"/>
    </font>
    <font>
      <sz val="14"/>
      <color rgb="FFFF0000"/>
      <name val="돋움"/>
      <family val="3"/>
      <charset val="129"/>
    </font>
    <font>
      <sz val="11"/>
      <color theme="9" tint="-0.499984740745262"/>
      <name val="Malgun Gothic"/>
      <family val="3"/>
      <charset val="129"/>
    </font>
    <font>
      <sz val="11"/>
      <color theme="9" tint="-0.499984740745262"/>
      <name val="맑은 고딕"/>
      <family val="3"/>
      <charset val="129"/>
    </font>
    <font>
      <sz val="11"/>
      <color rgb="FF974706"/>
      <name val="맑은 고딕"/>
      <family val="3"/>
      <charset val="129"/>
    </font>
    <font>
      <b/>
      <sz val="11"/>
      <color rgb="FF00B050"/>
      <name val="Malgun Gothic"/>
      <family val="3"/>
      <charset val="129"/>
    </font>
  </fonts>
  <fills count="49">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FAF3DB"/>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indexed="9"/>
        <bgColor indexed="64"/>
      </patternFill>
    </fill>
    <fill>
      <patternFill patternType="solid">
        <fgColor theme="5" tint="0.59999389629810485"/>
        <bgColor indexed="64"/>
      </patternFill>
    </fill>
    <fill>
      <patternFill patternType="solid">
        <fgColor them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DCE6F1"/>
        <bgColor rgb="FF000000"/>
      </patternFill>
    </fill>
    <fill>
      <patternFill patternType="solid">
        <fgColor theme="8" tint="0.59999389629810485"/>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style="thin">
        <color theme="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theme="1"/>
      </right>
      <top style="thin">
        <color auto="1"/>
      </top>
      <bottom style="thin">
        <color theme="1"/>
      </bottom>
      <diagonal/>
    </border>
    <border>
      <left/>
      <right style="thin">
        <color auto="1"/>
      </right>
      <top style="thin">
        <color auto="1"/>
      </top>
      <bottom style="thin">
        <color theme="1"/>
      </bottom>
      <diagonal/>
    </border>
    <border>
      <left style="thin">
        <color auto="1"/>
      </left>
      <right style="thin">
        <color theme="1"/>
      </right>
      <top/>
      <bottom style="thin">
        <color theme="1"/>
      </bottom>
      <diagonal/>
    </border>
    <border>
      <left style="thin">
        <color auto="1"/>
      </left>
      <right style="thin">
        <color theme="1"/>
      </right>
      <top style="thin">
        <color theme="1"/>
      </top>
      <bottom style="thin">
        <color theme="1"/>
      </bottom>
      <diagonal/>
    </border>
    <border>
      <left style="thin">
        <color auto="1"/>
      </left>
      <right/>
      <top style="thin">
        <color auto="1"/>
      </top>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style="thin">
        <color auto="1"/>
      </left>
      <right/>
      <top/>
      <bottom style="thin">
        <color theme="1"/>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auto="1"/>
      </left>
      <right/>
      <top style="thin">
        <color auto="1"/>
      </top>
      <bottom style="thin">
        <color theme="1"/>
      </bottom>
      <diagonal/>
    </border>
    <border>
      <left style="thin">
        <color auto="1"/>
      </left>
      <right style="thin">
        <color auto="1"/>
      </right>
      <top style="thin">
        <color auto="1"/>
      </top>
      <bottom style="thin">
        <color theme="1"/>
      </bottom>
      <diagonal/>
    </border>
    <border>
      <left style="thin">
        <color auto="1"/>
      </left>
      <right style="thin">
        <color auto="1"/>
      </right>
      <top/>
      <bottom style="thin">
        <color theme="1"/>
      </bottom>
      <diagonal/>
    </border>
    <border>
      <left style="thin">
        <color theme="0" tint="-0.14999847407452621"/>
      </left>
      <right style="thin">
        <color theme="0" tint="-0.14999847407452621"/>
      </right>
      <top style="thin">
        <color theme="0" tint="-0.14999847407452621"/>
      </top>
      <bottom/>
      <diagonal/>
    </border>
    <border>
      <left/>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theme="0" tint="-0.14999847407452621"/>
      </left>
      <right style="thin">
        <color theme="0" tint="-0.14999847407452621"/>
      </right>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style="thin">
        <color theme="0" tint="-0.14999847407452621"/>
      </right>
      <top/>
      <bottom style="thin">
        <color theme="0" tint="-0.14999847407452621"/>
      </bottom>
      <diagonal/>
    </border>
    <border>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bottom/>
      <diagonal/>
    </border>
    <border>
      <left/>
      <right style="thin">
        <color theme="2"/>
      </right>
      <top/>
      <bottom/>
      <diagonal/>
    </border>
    <border>
      <left/>
      <right style="thin">
        <color theme="2"/>
      </right>
      <top/>
      <bottom style="thin">
        <color theme="2"/>
      </bottom>
      <diagonal/>
    </border>
    <border>
      <left style="thin">
        <color theme="0" tint="-0.14999847407452621"/>
      </left>
      <right style="thin">
        <color theme="2"/>
      </right>
      <top style="thin">
        <color theme="0" tint="-0.14999847407452621"/>
      </top>
      <bottom style="thin">
        <color theme="0" tint="-0.14999847407452621"/>
      </bottom>
      <diagonal/>
    </border>
    <border>
      <left/>
      <right/>
      <top/>
      <bottom style="medium">
        <color theme="4" tint="-0.249946592608417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theme="2"/>
      </left>
      <right/>
      <top style="thin">
        <color theme="0" tint="-0.14999847407452621"/>
      </top>
      <bottom style="thin">
        <color theme="2"/>
      </bottom>
      <diagonal/>
    </border>
    <border>
      <left style="thin">
        <color theme="2"/>
      </left>
      <right/>
      <top/>
      <bottom style="thin">
        <color theme="0" tint="-0.14999847407452621"/>
      </bottom>
      <diagonal/>
    </border>
    <border>
      <left style="thin">
        <color theme="0" tint="-0.14999847407452621"/>
      </left>
      <right style="thin">
        <color theme="0" tint="-0.14999847407452621"/>
      </right>
      <top style="thin">
        <color theme="2"/>
      </top>
      <bottom/>
      <diagonal/>
    </border>
    <border>
      <left/>
      <right style="thin">
        <color theme="0" tint="-0.14999847407452621"/>
      </right>
      <top style="thin">
        <color theme="2"/>
      </top>
      <bottom style="thin">
        <color theme="0" tint="-0.14999847407452621"/>
      </bottom>
      <diagonal/>
    </border>
    <border>
      <left/>
      <right style="thin">
        <color theme="2"/>
      </right>
      <top style="thin">
        <color theme="2"/>
      </top>
      <bottom/>
      <diagonal/>
    </border>
    <border>
      <left/>
      <right style="thin">
        <color theme="2"/>
      </right>
      <top style="thin">
        <color theme="2"/>
      </top>
      <bottom style="thin">
        <color theme="2"/>
      </bottom>
      <diagonal/>
    </border>
    <border>
      <left style="thin">
        <color theme="0" tint="-0.14999847407452621"/>
      </left>
      <right style="thin">
        <color theme="0" tint="-0.14999847407452621"/>
      </right>
      <top style="thin">
        <color theme="2"/>
      </top>
      <bottom style="thin">
        <color theme="0" tint="-0.14999847407452621"/>
      </bottom>
      <diagonal/>
    </border>
    <border>
      <left style="thin">
        <color auto="1"/>
      </left>
      <right style="thin">
        <color theme="1"/>
      </right>
      <top/>
      <bottom/>
      <diagonal/>
    </border>
    <border>
      <left/>
      <right style="thin">
        <color indexed="64"/>
      </right>
      <top style="thin">
        <color auto="1"/>
      </top>
      <bottom/>
      <diagonal/>
    </border>
  </borders>
  <cellStyleXfs count="78">
    <xf numFmtId="0" fontId="0" fillId="0" borderId="0">
      <alignment vertical="center"/>
    </xf>
    <xf numFmtId="0" fontId="13" fillId="0" borderId="0">
      <alignment vertical="center"/>
    </xf>
    <xf numFmtId="0" fontId="16" fillId="0" borderId="0" applyNumberFormat="0" applyFill="0" applyBorder="0" applyAlignment="0" applyProtection="0">
      <alignment vertical="center"/>
    </xf>
    <xf numFmtId="0" fontId="3" fillId="0" borderId="0">
      <alignment vertical="center"/>
    </xf>
    <xf numFmtId="0" fontId="17" fillId="0" borderId="0">
      <alignment vertical="top"/>
    </xf>
    <xf numFmtId="0" fontId="18" fillId="0" borderId="0" applyFill="0" applyBorder="0" applyProtection="0">
      <alignment vertical="center"/>
    </xf>
    <xf numFmtId="0" fontId="20" fillId="0" borderId="44" applyNumberFormat="0" applyFill="0" applyProtection="0">
      <alignment horizontal="left" vertical="center" indent="1"/>
    </xf>
    <xf numFmtId="0" fontId="20" fillId="0" borderId="0" applyFill="0" applyProtection="0"/>
    <xf numFmtId="0" fontId="17" fillId="0" borderId="0" applyFill="0" applyProtection="0"/>
    <xf numFmtId="0" fontId="22" fillId="0" borderId="0">
      <alignment horizontal="left" indent="1"/>
    </xf>
    <xf numFmtId="177" fontId="24" fillId="0" borderId="0">
      <alignment horizontal="left" indent="1"/>
    </xf>
    <xf numFmtId="0" fontId="25" fillId="14" borderId="0" applyNumberFormat="0" applyFont="0" applyBorder="0" applyAlignment="0">
      <alignment horizontal="left" vertical="center" indent="1"/>
    </xf>
    <xf numFmtId="0" fontId="26" fillId="14" borderId="0" applyBorder="0" applyProtection="0">
      <alignment horizontal="left" vertical="top" wrapText="1" indent="1"/>
    </xf>
    <xf numFmtId="0" fontId="28" fillId="0" borderId="0" applyNumberFormat="0" applyFill="0" applyBorder="0" applyAlignment="0" applyProtection="0">
      <alignment vertical="center"/>
    </xf>
    <xf numFmtId="0" fontId="29" fillId="0" borderId="45" applyNumberFormat="0" applyFill="0" applyAlignment="0" applyProtection="0">
      <alignment vertical="center"/>
    </xf>
    <xf numFmtId="0" fontId="30" fillId="0" borderId="46" applyNumberFormat="0" applyFill="0" applyAlignment="0" applyProtection="0">
      <alignment vertical="center"/>
    </xf>
    <xf numFmtId="0" fontId="31" fillId="0" borderId="47" applyNumberFormat="0" applyFill="0" applyAlignment="0" applyProtection="0">
      <alignment vertical="center"/>
    </xf>
    <xf numFmtId="0" fontId="31" fillId="0" borderId="0" applyNumberFormat="0" applyFill="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48" applyNumberFormat="0" applyAlignment="0" applyProtection="0">
      <alignment vertical="center"/>
    </xf>
    <xf numFmtId="0" fontId="36" fillId="19" borderId="49" applyNumberFormat="0" applyAlignment="0" applyProtection="0">
      <alignment vertical="center"/>
    </xf>
    <xf numFmtId="0" fontId="37" fillId="19" borderId="48" applyNumberFormat="0" applyAlignment="0" applyProtection="0">
      <alignment vertical="center"/>
    </xf>
    <xf numFmtId="0" fontId="38" fillId="0" borderId="50" applyNumberFormat="0" applyFill="0" applyAlignment="0" applyProtection="0">
      <alignment vertical="center"/>
    </xf>
    <xf numFmtId="0" fontId="39" fillId="20" borderId="51" applyNumberForma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53" applyNumberFormat="0" applyFill="0" applyAlignment="0" applyProtection="0">
      <alignment vertical="center"/>
    </xf>
    <xf numFmtId="0" fontId="43" fillId="22"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5" borderId="0" applyNumberFormat="0" applyBorder="0" applyAlignment="0" applyProtection="0">
      <alignment vertical="center"/>
    </xf>
    <xf numFmtId="0" fontId="43" fillId="26"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29" borderId="0" applyNumberFormat="0" applyBorder="0" applyAlignment="0" applyProtection="0">
      <alignment vertical="center"/>
    </xf>
    <xf numFmtId="0" fontId="43" fillId="30"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2" fillId="33" borderId="0" applyNumberFormat="0" applyBorder="0" applyAlignment="0" applyProtection="0">
      <alignment vertical="center"/>
    </xf>
    <xf numFmtId="0" fontId="43" fillId="34" borderId="0" applyNumberFormat="0" applyBorder="0" applyAlignment="0" applyProtection="0">
      <alignment vertical="center"/>
    </xf>
    <xf numFmtId="0" fontId="2" fillId="35" borderId="0" applyNumberFormat="0" applyBorder="0" applyAlignment="0" applyProtection="0">
      <alignment vertical="center"/>
    </xf>
    <xf numFmtId="0" fontId="2" fillId="36" borderId="0" applyNumberFormat="0" applyBorder="0" applyAlignment="0" applyProtection="0">
      <alignment vertical="center"/>
    </xf>
    <xf numFmtId="0" fontId="2" fillId="37" borderId="0" applyNumberFormat="0" applyBorder="0" applyAlignment="0" applyProtection="0">
      <alignment vertical="center"/>
    </xf>
    <xf numFmtId="0" fontId="43" fillId="38" borderId="0" applyNumberFormat="0" applyBorder="0" applyAlignment="0" applyProtection="0">
      <alignment vertical="center"/>
    </xf>
    <xf numFmtId="0" fontId="2" fillId="39" borderId="0" applyNumberFormat="0" applyBorder="0" applyAlignment="0" applyProtection="0">
      <alignment vertical="center"/>
    </xf>
    <xf numFmtId="0" fontId="2" fillId="40" borderId="0" applyNumberFormat="0" applyBorder="0" applyAlignment="0" applyProtection="0">
      <alignment vertical="center"/>
    </xf>
    <xf numFmtId="0" fontId="2" fillId="41" borderId="0" applyNumberFormat="0" applyBorder="0" applyAlignment="0" applyProtection="0">
      <alignment vertical="center"/>
    </xf>
    <xf numFmtId="0" fontId="43" fillId="42" borderId="0" applyNumberFormat="0" applyBorder="0" applyAlignment="0" applyProtection="0">
      <alignment vertical="center"/>
    </xf>
    <xf numFmtId="0" fontId="2" fillId="43" borderId="0" applyNumberFormat="0" applyBorder="0" applyAlignment="0" applyProtection="0">
      <alignment vertical="center"/>
    </xf>
    <xf numFmtId="0" fontId="2" fillId="44" borderId="0" applyNumberFormat="0" applyBorder="0" applyAlignment="0" applyProtection="0">
      <alignment vertical="center"/>
    </xf>
    <xf numFmtId="0" fontId="2" fillId="45"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21" borderId="52" applyNumberFormat="0" applyFont="0" applyAlignment="0" applyProtection="0">
      <alignment vertical="center"/>
    </xf>
    <xf numFmtId="0" fontId="61" fillId="0" borderId="0" applyNumberFormat="0" applyFill="0" applyBorder="0" applyAlignment="0" applyProtection="0">
      <alignment vertical="center"/>
    </xf>
    <xf numFmtId="0" fontId="1" fillId="0" borderId="0">
      <alignment vertical="center"/>
    </xf>
    <xf numFmtId="0" fontId="1" fillId="21" borderId="52" applyNumberFormat="0" applyFont="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7"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41" borderId="0" applyNumberFormat="0" applyBorder="0" applyAlignment="0" applyProtection="0">
      <alignment vertical="center"/>
    </xf>
    <xf numFmtId="0" fontId="1" fillId="43" borderId="0" applyNumberFormat="0" applyBorder="0" applyAlignment="0" applyProtection="0">
      <alignment vertical="center"/>
    </xf>
    <xf numFmtId="0" fontId="1" fillId="44" borderId="0" applyNumberFormat="0" applyBorder="0" applyAlignment="0" applyProtection="0">
      <alignment vertical="center"/>
    </xf>
    <xf numFmtId="0" fontId="1" fillId="45" borderId="0" applyNumberFormat="0" applyBorder="0" applyAlignment="0" applyProtection="0">
      <alignment vertical="center"/>
    </xf>
    <xf numFmtId="0" fontId="1" fillId="0" borderId="0">
      <alignment vertical="center"/>
    </xf>
  </cellStyleXfs>
  <cellXfs count="409">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0" fontId="4" fillId="2" borderId="0" xfId="0" applyFont="1" applyFill="1">
      <alignment vertical="center"/>
    </xf>
    <xf numFmtId="0" fontId="4" fillId="2" borderId="0" xfId="0" applyFont="1" applyFill="1" applyAlignment="1">
      <alignment horizontal="center" vertical="center"/>
    </xf>
    <xf numFmtId="0" fontId="4" fillId="0" borderId="0" xfId="0" applyFont="1" applyAlignment="1">
      <alignment horizontal="left" vertical="center"/>
    </xf>
    <xf numFmtId="0" fontId="4" fillId="2" borderId="0" xfId="0" applyFont="1" applyFill="1" applyAlignment="1">
      <alignment horizontal="center" vertical="center" wrapText="1"/>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176" fontId="7" fillId="4"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12"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12"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4" fillId="7" borderId="1" xfId="0" applyFont="1" applyFill="1" applyBorder="1" applyAlignment="1">
      <alignment horizontal="center" vertical="center"/>
    </xf>
    <xf numFmtId="0" fontId="12" fillId="8" borderId="1" xfId="0" applyFont="1" applyFill="1" applyBorder="1" applyAlignment="1">
      <alignment horizontal="center" vertical="center" wrapText="1"/>
    </xf>
    <xf numFmtId="11" fontId="4" fillId="8"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0" fontId="4" fillId="7" borderId="1" xfId="0" applyFont="1" applyFill="1" applyBorder="1" applyAlignment="1">
      <alignment horizontal="left" vertical="center"/>
    </xf>
    <xf numFmtId="0" fontId="4" fillId="8" borderId="1" xfId="0" applyFont="1" applyFill="1" applyBorder="1" applyAlignment="1">
      <alignment horizontal="left" vertical="center"/>
    </xf>
    <xf numFmtId="0" fontId="4" fillId="6" borderId="1" xfId="0" applyFont="1" applyFill="1" applyBorder="1">
      <alignment vertical="center"/>
    </xf>
    <xf numFmtId="0" fontId="4" fillId="8" borderId="1" xfId="0" applyFont="1" applyFill="1" applyBorder="1" applyAlignment="1">
      <alignment vertical="center" wrapText="1"/>
    </xf>
    <xf numFmtId="0" fontId="4" fillId="7" borderId="1" xfId="0" applyFont="1" applyFill="1" applyBorder="1" applyAlignment="1">
      <alignment vertical="center" wrapText="1"/>
    </xf>
    <xf numFmtId="0" fontId="4" fillId="7" borderId="1" xfId="0" applyFont="1" applyFill="1" applyBorder="1">
      <alignment vertical="center"/>
    </xf>
    <xf numFmtId="0" fontId="4" fillId="8" borderId="1" xfId="0" applyFont="1" applyFill="1" applyBorder="1">
      <alignment vertical="center"/>
    </xf>
    <xf numFmtId="0" fontId="4" fillId="2" borderId="0" xfId="1" applyFont="1" applyFill="1">
      <alignment vertical="center"/>
    </xf>
    <xf numFmtId="0" fontId="4" fillId="2" borderId="0" xfId="1" applyFont="1" applyFill="1" applyAlignment="1">
      <alignment horizontal="center" vertical="center"/>
    </xf>
    <xf numFmtId="0" fontId="16" fillId="9" borderId="12" xfId="2" applyFill="1" applyBorder="1" applyAlignment="1">
      <alignment horizontal="center" vertical="center"/>
    </xf>
    <xf numFmtId="0" fontId="16" fillId="10" borderId="14" xfId="2" applyFill="1" applyBorder="1" applyAlignment="1">
      <alignment horizontal="center" vertical="center"/>
    </xf>
    <xf numFmtId="0" fontId="16" fillId="9" borderId="14" xfId="2" applyFill="1" applyBorder="1" applyAlignment="1">
      <alignment horizontal="center" vertical="center"/>
    </xf>
    <xf numFmtId="0" fontId="16" fillId="10" borderId="15" xfId="2" applyFill="1" applyBorder="1" applyAlignment="1">
      <alignment horizontal="center" vertical="center"/>
    </xf>
    <xf numFmtId="0" fontId="16" fillId="9" borderId="17" xfId="2" applyFill="1" applyBorder="1" applyAlignment="1">
      <alignment horizontal="center" vertical="center"/>
    </xf>
    <xf numFmtId="0" fontId="16" fillId="10" borderId="19" xfId="2" applyFill="1" applyBorder="1" applyAlignment="1">
      <alignment horizontal="center" vertical="center"/>
    </xf>
    <xf numFmtId="0" fontId="16" fillId="9" borderId="21" xfId="2" applyFill="1" applyBorder="1" applyAlignment="1">
      <alignment horizontal="center" vertical="center"/>
    </xf>
    <xf numFmtId="0" fontId="16" fillId="10" borderId="22" xfId="2" applyFill="1" applyBorder="1" applyAlignment="1">
      <alignment horizontal="center" vertical="center"/>
    </xf>
    <xf numFmtId="0" fontId="16" fillId="9" borderId="19" xfId="2" applyFill="1" applyBorder="1" applyAlignment="1">
      <alignment horizontal="center" vertical="center"/>
    </xf>
    <xf numFmtId="0" fontId="16" fillId="10" borderId="21" xfId="2" applyFill="1" applyBorder="1" applyAlignment="1">
      <alignment horizontal="center" vertical="center"/>
    </xf>
    <xf numFmtId="0" fontId="13" fillId="0" borderId="0" xfId="1">
      <alignment vertical="center"/>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9" borderId="16" xfId="0" applyFont="1" applyFill="1" applyBorder="1" applyAlignment="1">
      <alignment horizontal="center" vertical="center" wrapText="1"/>
    </xf>
    <xf numFmtId="0" fontId="4" fillId="10" borderId="7" xfId="0" applyFont="1" applyFill="1" applyBorder="1" applyAlignment="1">
      <alignment horizontal="center" vertical="center"/>
    </xf>
    <xf numFmtId="0" fontId="4" fillId="10" borderId="18" xfId="0" applyFont="1" applyFill="1" applyBorder="1" applyAlignment="1">
      <alignment horizontal="center" vertical="center"/>
    </xf>
    <xf numFmtId="0" fontId="4" fillId="9" borderId="20" xfId="0" applyFont="1" applyFill="1" applyBorder="1" applyAlignment="1">
      <alignment horizontal="center" vertical="center" wrapText="1"/>
    </xf>
    <xf numFmtId="0" fontId="4" fillId="10" borderId="20" xfId="0" applyFont="1" applyFill="1" applyBorder="1" applyAlignment="1">
      <alignment horizontal="center" vertical="center"/>
    </xf>
    <xf numFmtId="0" fontId="4" fillId="10" borderId="8" xfId="0" applyFont="1" applyFill="1" applyBorder="1" applyAlignment="1">
      <alignment horizontal="center" vertical="center"/>
    </xf>
    <xf numFmtId="0" fontId="4" fillId="9" borderId="7" xfId="0" applyFont="1" applyFill="1" applyBorder="1" applyAlignment="1">
      <alignment horizontal="center" vertical="center" wrapText="1"/>
    </xf>
    <xf numFmtId="0" fontId="4" fillId="10" borderId="23" xfId="0" applyFont="1" applyFill="1" applyBorder="1" applyAlignment="1">
      <alignment horizontal="center" vertical="center"/>
    </xf>
    <xf numFmtId="0" fontId="4" fillId="9" borderId="8" xfId="0" applyFont="1" applyFill="1" applyBorder="1" applyAlignment="1">
      <alignment horizontal="center" vertical="center" wrapText="1"/>
    </xf>
    <xf numFmtId="0" fontId="4" fillId="10" borderId="24" xfId="0" applyFont="1" applyFill="1" applyBorder="1" applyAlignment="1">
      <alignment horizontal="center" vertical="center"/>
    </xf>
    <xf numFmtId="0" fontId="17" fillId="0" borderId="0" xfId="4">
      <alignment vertical="top"/>
    </xf>
    <xf numFmtId="0" fontId="20" fillId="12" borderId="0" xfId="6" applyFill="1" applyBorder="1" applyAlignment="1">
      <alignment vertical="center"/>
    </xf>
    <xf numFmtId="0" fontId="18" fillId="12" borderId="0" xfId="5" applyFill="1" applyAlignment="1">
      <alignment horizontal="left" vertical="center"/>
    </xf>
    <xf numFmtId="0" fontId="17" fillId="12" borderId="0" xfId="4" applyFill="1">
      <alignment vertical="top"/>
    </xf>
    <xf numFmtId="0" fontId="20" fillId="0" borderId="44" xfId="6" applyFill="1">
      <alignment horizontal="left" vertical="center" indent="1"/>
    </xf>
    <xf numFmtId="0" fontId="21" fillId="0" borderId="0" xfId="4" applyFont="1">
      <alignment vertical="top"/>
    </xf>
    <xf numFmtId="0" fontId="17" fillId="0" borderId="0" xfId="8"/>
    <xf numFmtId="0" fontId="22" fillId="13" borderId="0" xfId="9" applyFill="1">
      <alignment horizontal="left" indent="1"/>
    </xf>
    <xf numFmtId="0" fontId="23" fillId="0" borderId="0" xfId="4" applyFont="1">
      <alignment vertical="top"/>
    </xf>
    <xf numFmtId="177" fontId="24" fillId="0" borderId="0" xfId="10">
      <alignment horizontal="left" indent="1"/>
    </xf>
    <xf numFmtId="0" fontId="17" fillId="0" borderId="0" xfId="4" applyAlignment="1">
      <alignment horizontal="left" indent="1"/>
    </xf>
    <xf numFmtId="0" fontId="22" fillId="0" borderId="0" xfId="9">
      <alignment horizontal="left" indent="1"/>
    </xf>
    <xf numFmtId="177" fontId="24" fillId="14" borderId="0" xfId="11" applyNumberFormat="1" applyFont="1" applyAlignment="1">
      <alignment horizontal="left" wrapText="1" indent="1"/>
    </xf>
    <xf numFmtId="0" fontId="17" fillId="12" borderId="0" xfId="4" applyFill="1" applyAlignment="1">
      <alignment horizontal="right"/>
    </xf>
    <xf numFmtId="0" fontId="18" fillId="0" borderId="0" xfId="5" applyFill="1" applyBorder="1" applyAlignment="1">
      <alignment horizontal="right" vertical="center"/>
    </xf>
    <xf numFmtId="177" fontId="24" fillId="14" borderId="0" xfId="11" applyNumberFormat="1" applyFont="1" applyAlignment="1">
      <alignment horizontal="left" indent="1"/>
    </xf>
    <xf numFmtId="0" fontId="27" fillId="0" borderId="0" xfId="4" applyFont="1">
      <alignment vertical="top"/>
    </xf>
    <xf numFmtId="0" fontId="44" fillId="0" borderId="44" xfId="6" applyFont="1" applyFill="1">
      <alignment horizontal="left" vertical="center" indent="1"/>
    </xf>
    <xf numFmtId="0" fontId="45" fillId="0" borderId="44" xfId="6" applyFont="1" applyFill="1">
      <alignment horizontal="left" vertical="center" indent="1"/>
    </xf>
    <xf numFmtId="177" fontId="46" fillId="0" borderId="0" xfId="10" applyFont="1">
      <alignment horizontal="left" indent="1"/>
    </xf>
    <xf numFmtId="177" fontId="46" fillId="14" borderId="0" xfId="11" applyNumberFormat="1" applyFont="1" applyAlignment="1">
      <alignment horizontal="left" wrapText="1" indent="1"/>
    </xf>
    <xf numFmtId="177" fontId="45" fillId="14" borderId="0" xfId="11" applyNumberFormat="1" applyFont="1" applyAlignment="1">
      <alignment horizontal="left" wrapText="1" indent="1"/>
    </xf>
    <xf numFmtId="177" fontId="45" fillId="0" borderId="0" xfId="10" applyFont="1">
      <alignment horizontal="left" indent="1"/>
    </xf>
    <xf numFmtId="177" fontId="45" fillId="14" borderId="0" xfId="11" applyNumberFormat="1" applyFont="1" applyAlignment="1">
      <alignment horizontal="left" indent="1"/>
    </xf>
    <xf numFmtId="0" fontId="46" fillId="0" borderId="44" xfId="6" applyFont="1" applyFill="1">
      <alignment horizontal="left" vertical="center" indent="1"/>
    </xf>
    <xf numFmtId="177" fontId="46" fillId="14" borderId="0" xfId="11" applyNumberFormat="1" applyFont="1" applyAlignment="1">
      <alignment horizontal="left" indent="1"/>
    </xf>
    <xf numFmtId="0" fontId="47" fillId="14" borderId="0" xfId="11" applyFont="1" applyAlignment="1">
      <alignment vertical="top" wrapText="1"/>
    </xf>
    <xf numFmtId="0" fontId="48" fillId="14" borderId="0" xfId="11" applyFont="1" applyAlignment="1">
      <alignment vertical="top" wrapText="1"/>
    </xf>
    <xf numFmtId="0" fontId="48" fillId="14" borderId="0" xfId="11" applyFont="1" applyAlignment="1">
      <alignment vertical="top"/>
    </xf>
    <xf numFmtId="0" fontId="47" fillId="46" borderId="0" xfId="11" applyFont="1" applyFill="1" applyAlignment="1">
      <alignment vertical="top"/>
    </xf>
    <xf numFmtId="0" fontId="45" fillId="46" borderId="0" xfId="4" applyFont="1" applyFill="1">
      <alignment vertical="top"/>
    </xf>
    <xf numFmtId="0" fontId="50" fillId="46" borderId="0" xfId="4" applyFont="1" applyFill="1">
      <alignment vertical="top"/>
    </xf>
    <xf numFmtId="0" fontId="17" fillId="0" borderId="0" xfId="4" applyAlignment="1">
      <alignment vertical="top" wrapText="1"/>
    </xf>
    <xf numFmtId="0" fontId="52" fillId="0" borderId="0" xfId="4" applyFont="1" applyAlignment="1">
      <alignment vertical="top" wrapText="1"/>
    </xf>
    <xf numFmtId="14" fontId="27" fillId="0" borderId="54" xfId="4" applyNumberFormat="1" applyFont="1" applyBorder="1" applyAlignment="1">
      <alignment vertical="top" wrapText="1"/>
    </xf>
    <xf numFmtId="0" fontId="54" fillId="0" borderId="55" xfId="4" applyFont="1" applyBorder="1" applyAlignment="1">
      <alignment horizontal="left"/>
    </xf>
    <xf numFmtId="0" fontId="48" fillId="14" borderId="0" xfId="11" applyFont="1" applyAlignment="1">
      <alignment horizontal="left" vertical="top" wrapText="1"/>
    </xf>
    <xf numFmtId="0" fontId="56" fillId="0" borderId="0" xfId="4" applyFont="1">
      <alignment vertical="top"/>
    </xf>
    <xf numFmtId="0" fontId="49" fillId="0" borderId="0" xfId="4" applyFont="1" applyAlignment="1">
      <alignment vertical="top" wrapText="1"/>
    </xf>
    <xf numFmtId="0" fontId="49" fillId="0" borderId="0" xfId="4" applyFont="1">
      <alignment vertical="top"/>
    </xf>
    <xf numFmtId="0" fontId="58" fillId="14" borderId="0" xfId="11" applyFont="1" applyAlignment="1">
      <alignment vertical="top" wrapText="1"/>
    </xf>
    <xf numFmtId="0" fontId="6" fillId="4" borderId="2" xfId="0" applyFont="1" applyFill="1" applyBorder="1" applyAlignment="1">
      <alignment horizontal="center" vertical="center"/>
    </xf>
    <xf numFmtId="0" fontId="50" fillId="0" borderId="0" xfId="4" applyFont="1">
      <alignment vertical="top"/>
    </xf>
    <xf numFmtId="0" fontId="12" fillId="7" borderId="0" xfId="0" applyFont="1" applyFill="1" applyAlignment="1">
      <alignment horizontal="center" vertical="center"/>
    </xf>
    <xf numFmtId="0" fontId="4" fillId="6" borderId="56" xfId="0" applyFont="1" applyFill="1" applyBorder="1" applyAlignment="1">
      <alignment horizontal="center" vertical="center"/>
    </xf>
    <xf numFmtId="0" fontId="4" fillId="9" borderId="56" xfId="0" applyFont="1" applyFill="1" applyBorder="1" applyAlignment="1">
      <alignment horizontal="center" vertical="center" wrapText="1"/>
    </xf>
    <xf numFmtId="0" fontId="4" fillId="9" borderId="56" xfId="0" applyFont="1" applyFill="1" applyBorder="1" applyAlignment="1">
      <alignment horizontal="center" vertical="center"/>
    </xf>
    <xf numFmtId="0" fontId="4" fillId="9" borderId="11" xfId="0" applyFont="1" applyFill="1" applyBorder="1" applyAlignment="1">
      <alignment horizontal="center" vertical="center" wrapText="1"/>
    </xf>
    <xf numFmtId="0" fontId="57" fillId="14" borderId="0" xfId="11" applyFont="1" applyAlignment="1">
      <alignment vertical="top" wrapText="1"/>
    </xf>
    <xf numFmtId="0" fontId="17" fillId="0" borderId="0" xfId="4" applyAlignment="1">
      <alignment horizontal="left" vertical="top"/>
    </xf>
    <xf numFmtId="0" fontId="61" fillId="8" borderId="1" xfId="56" applyFill="1" applyBorder="1" applyAlignment="1">
      <alignment horizontal="center" vertical="center"/>
    </xf>
    <xf numFmtId="0" fontId="4" fillId="9" borderId="25" xfId="0" applyFont="1" applyFill="1" applyBorder="1" applyAlignment="1">
      <alignment horizontal="center" vertical="center" wrapText="1"/>
    </xf>
    <xf numFmtId="0" fontId="58" fillId="14" borderId="0" xfId="11" applyFont="1" applyAlignment="1">
      <alignment vertical="top"/>
    </xf>
    <xf numFmtId="0" fontId="53" fillId="14" borderId="0" xfId="11" applyFont="1" applyAlignment="1">
      <alignment vertical="top" wrapText="1"/>
    </xf>
    <xf numFmtId="0" fontId="50" fillId="0" borderId="0" xfId="4" applyFont="1" applyAlignment="1">
      <alignment vertical="top" wrapText="1"/>
    </xf>
    <xf numFmtId="0" fontId="56" fillId="0" borderId="0" xfId="4" applyFont="1" applyAlignment="1">
      <alignment vertical="top" wrapText="1"/>
    </xf>
    <xf numFmtId="0" fontId="47" fillId="14" borderId="0" xfId="11" applyFont="1" applyAlignment="1">
      <alignment vertical="top"/>
    </xf>
    <xf numFmtId="0" fontId="62" fillId="0" borderId="0" xfId="4" applyFont="1" applyAlignment="1">
      <alignment vertical="top" wrapText="1"/>
    </xf>
    <xf numFmtId="0" fontId="12" fillId="8" borderId="0" xfId="0" applyFont="1" applyFill="1" applyAlignment="1">
      <alignment horizontal="center" vertical="center"/>
    </xf>
    <xf numFmtId="0" fontId="63" fillId="8" borderId="1" xfId="56"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65" fillId="0" borderId="0" xfId="0" applyFont="1">
      <alignment vertical="center"/>
    </xf>
    <xf numFmtId="0" fontId="65" fillId="0" borderId="1" xfId="0" applyFont="1" applyBorder="1" applyAlignment="1">
      <alignment horizontal="center" vertical="center"/>
    </xf>
    <xf numFmtId="0" fontId="65" fillId="0" borderId="0" xfId="0" applyFont="1" applyAlignment="1">
      <alignment horizontal="center" vertical="center"/>
    </xf>
    <xf numFmtId="0" fontId="65" fillId="10" borderId="1" xfId="0" applyFont="1" applyFill="1" applyBorder="1" applyAlignment="1">
      <alignment horizontal="center" vertical="center"/>
    </xf>
    <xf numFmtId="0" fontId="67" fillId="10" borderId="1" xfId="0" applyFont="1" applyFill="1" applyBorder="1" applyAlignment="1">
      <alignment horizontal="center" vertical="center"/>
    </xf>
    <xf numFmtId="0" fontId="62" fillId="0" borderId="0" xfId="4" applyFont="1">
      <alignment vertical="top"/>
    </xf>
    <xf numFmtId="0" fontId="58" fillId="0" borderId="0" xfId="0" applyFont="1">
      <alignment vertical="center"/>
    </xf>
    <xf numFmtId="0" fontId="58" fillId="48" borderId="0" xfId="0" applyFont="1" applyFill="1" applyAlignment="1">
      <alignment horizontal="center" vertical="center"/>
    </xf>
    <xf numFmtId="178" fontId="6" fillId="0" borderId="1" xfId="0" applyNumberFormat="1" applyFont="1" applyBorder="1" applyAlignment="1">
      <alignment horizontal="center" vertical="center"/>
    </xf>
    <xf numFmtId="0" fontId="50" fillId="46" borderId="0" xfId="4" applyFont="1" applyFill="1" applyAlignment="1">
      <alignment vertical="top" wrapText="1"/>
    </xf>
    <xf numFmtId="0" fontId="45" fillId="5" borderId="0" xfId="4" applyFont="1" applyFill="1">
      <alignment vertical="top"/>
    </xf>
    <xf numFmtId="177" fontId="44" fillId="0" borderId="0" xfId="10" applyFont="1">
      <alignment horizontal="left" indent="1"/>
    </xf>
    <xf numFmtId="177" fontId="68" fillId="14" borderId="0" xfId="11" applyNumberFormat="1" applyFont="1" applyAlignment="1">
      <alignment horizontal="left" indent="1"/>
    </xf>
    <xf numFmtId="177" fontId="25" fillId="14" borderId="0" xfId="11" applyNumberFormat="1" applyFont="1" applyAlignment="1">
      <alignment horizontal="left" indent="1"/>
    </xf>
    <xf numFmtId="0" fontId="50" fillId="5" borderId="0" xfId="4" applyFont="1" applyFill="1">
      <alignment vertical="top"/>
    </xf>
    <xf numFmtId="177" fontId="25" fillId="0" borderId="0" xfId="10" applyFont="1">
      <alignment horizontal="left" indent="1"/>
    </xf>
    <xf numFmtId="0" fontId="47" fillId="46" borderId="0" xfId="11" applyFont="1" applyFill="1" applyAlignment="1">
      <alignment vertical="top" wrapText="1"/>
    </xf>
    <xf numFmtId="0" fontId="25" fillId="5" borderId="0" xfId="4" applyFont="1" applyFill="1">
      <alignment vertical="top"/>
    </xf>
    <xf numFmtId="0" fontId="60" fillId="14" borderId="0" xfId="11" applyFont="1" applyAlignment="1">
      <alignment vertical="top"/>
    </xf>
    <xf numFmtId="0" fontId="51" fillId="0" borderId="0" xfId="4" applyFont="1">
      <alignment vertical="top"/>
    </xf>
    <xf numFmtId="0" fontId="51" fillId="0" borderId="0" xfId="4" applyFont="1" applyAlignment="1">
      <alignment vertical="top" wrapText="1"/>
    </xf>
    <xf numFmtId="0" fontId="69" fillId="0" borderId="0" xfId="0" applyFont="1" applyAlignment="1">
      <alignment horizontal="center" vertical="center"/>
    </xf>
    <xf numFmtId="0" fontId="58" fillId="0" borderId="0" xfId="0" applyFont="1" applyAlignment="1">
      <alignment vertical="center" wrapText="1"/>
    </xf>
    <xf numFmtId="11" fontId="6" fillId="0" borderId="1" xfId="0" applyNumberFormat="1" applyFont="1" applyBorder="1" applyAlignment="1">
      <alignment horizontal="center" vertical="center"/>
    </xf>
    <xf numFmtId="14" fontId="69" fillId="0" borderId="0" xfId="0" applyNumberFormat="1" applyFont="1" applyAlignment="1">
      <alignment horizontal="center" vertical="center"/>
    </xf>
    <xf numFmtId="14" fontId="69" fillId="0" borderId="0" xfId="3" applyNumberFormat="1" applyFont="1" applyAlignment="1">
      <alignment horizontal="center" vertical="center"/>
    </xf>
    <xf numFmtId="0" fontId="69" fillId="0" borderId="0" xfId="0" applyFont="1" applyAlignment="1">
      <alignment horizontal="left" vertical="top" wrapText="1"/>
    </xf>
    <xf numFmtId="0" fontId="69" fillId="0" borderId="26" xfId="0" applyFont="1" applyBorder="1" applyAlignment="1">
      <alignment horizontal="center" vertical="center"/>
    </xf>
    <xf numFmtId="0" fontId="69" fillId="0" borderId="0" xfId="0" applyFont="1" applyAlignment="1">
      <alignment horizontal="left" vertical="top"/>
    </xf>
    <xf numFmtId="0" fontId="70" fillId="0" borderId="0" xfId="0" applyFont="1" applyAlignment="1">
      <alignment horizontal="center" vertical="center"/>
    </xf>
    <xf numFmtId="0" fontId="69" fillId="0" borderId="35" xfId="0" applyFont="1" applyBorder="1" applyAlignment="1">
      <alignment horizontal="center" vertical="center"/>
    </xf>
    <xf numFmtId="0" fontId="69" fillId="0" borderId="37" xfId="0" applyFont="1" applyBorder="1" applyAlignment="1">
      <alignment horizontal="center" vertical="center"/>
    </xf>
    <xf numFmtId="49" fontId="69" fillId="2" borderId="29" xfId="0" applyNumberFormat="1" applyFont="1" applyFill="1" applyBorder="1" applyAlignment="1">
      <alignment horizontal="center" vertical="center" wrapText="1"/>
    </xf>
    <xf numFmtId="0" fontId="69" fillId="0" borderId="30" xfId="0" applyFont="1" applyBorder="1" applyAlignment="1">
      <alignment horizontal="center" vertical="center"/>
    </xf>
    <xf numFmtId="0" fontId="69" fillId="0" borderId="37" xfId="0" applyFont="1" applyBorder="1" applyAlignment="1">
      <alignment horizontal="left" vertical="top"/>
    </xf>
    <xf numFmtId="0" fontId="69" fillId="0" borderId="29" xfId="0" applyFont="1" applyBorder="1" applyAlignment="1">
      <alignment horizontal="left" vertical="top" wrapText="1"/>
    </xf>
    <xf numFmtId="0" fontId="69" fillId="0" borderId="28" xfId="0" applyFont="1" applyBorder="1" applyAlignment="1">
      <alignment horizontal="center" vertical="center"/>
    </xf>
    <xf numFmtId="0" fontId="69" fillId="0" borderId="29" xfId="0" applyFont="1" applyBorder="1" applyAlignment="1">
      <alignment horizontal="left" vertical="top"/>
    </xf>
    <xf numFmtId="0" fontId="69" fillId="0" borderId="29" xfId="0" applyFont="1" applyBorder="1" applyAlignment="1">
      <alignment horizontal="center" vertical="center"/>
    </xf>
    <xf numFmtId="0" fontId="69" fillId="0" borderId="32" xfId="0" applyFont="1" applyBorder="1" applyAlignment="1">
      <alignment horizontal="center" vertical="center"/>
    </xf>
    <xf numFmtId="0" fontId="69" fillId="0" borderId="40" xfId="0" applyFont="1" applyBorder="1" applyAlignment="1">
      <alignment horizontal="center" vertical="center"/>
    </xf>
    <xf numFmtId="0" fontId="69" fillId="0" borderId="31" xfId="0" applyFont="1" applyBorder="1" applyAlignment="1">
      <alignment horizontal="center" vertical="center"/>
    </xf>
    <xf numFmtId="0" fontId="69" fillId="0" borderId="39" xfId="0" applyFont="1" applyBorder="1" applyAlignment="1">
      <alignment horizontal="center" vertical="center"/>
    </xf>
    <xf numFmtId="0" fontId="69" fillId="0" borderId="36" xfId="0" applyFont="1" applyBorder="1" applyAlignment="1">
      <alignment horizontal="center" vertical="center"/>
    </xf>
    <xf numFmtId="0" fontId="69" fillId="0" borderId="28" xfId="0" applyFont="1" applyBorder="1" applyAlignment="1">
      <alignment horizontal="left" vertical="top"/>
    </xf>
    <xf numFmtId="0" fontId="69" fillId="0" borderId="38" xfId="0" applyFont="1" applyBorder="1" applyAlignment="1">
      <alignment horizontal="center" vertical="center"/>
    </xf>
    <xf numFmtId="49" fontId="69" fillId="2" borderId="28" xfId="0" applyNumberFormat="1" applyFont="1" applyFill="1" applyBorder="1" applyAlignment="1">
      <alignment horizontal="center" vertical="center" wrapText="1"/>
    </xf>
    <xf numFmtId="0" fontId="69" fillId="0" borderId="39" xfId="0" applyFont="1" applyBorder="1" applyAlignment="1">
      <alignment horizontal="left" vertical="top"/>
    </xf>
    <xf numFmtId="0" fontId="69" fillId="0" borderId="33" xfId="0" applyFont="1" applyBorder="1" applyAlignment="1">
      <alignment horizontal="center" vertical="center"/>
    </xf>
    <xf numFmtId="49" fontId="69" fillId="2" borderId="30" xfId="0" applyNumberFormat="1" applyFont="1" applyFill="1" applyBorder="1" applyAlignment="1">
      <alignment horizontal="center" vertical="center" wrapText="1"/>
    </xf>
    <xf numFmtId="0" fontId="72" fillId="14" borderId="0" xfId="11" applyFont="1" applyAlignment="1">
      <alignment vertical="top" wrapText="1"/>
    </xf>
    <xf numFmtId="0" fontId="69" fillId="0" borderId="32" xfId="0" applyFont="1" applyBorder="1" applyAlignment="1">
      <alignment horizontal="left" vertical="top"/>
    </xf>
    <xf numFmtId="0" fontId="69" fillId="0" borderId="37" xfId="0" applyFont="1" applyBorder="1" applyAlignment="1">
      <alignment horizontal="left" vertical="top" wrapText="1"/>
    </xf>
    <xf numFmtId="0" fontId="69" fillId="0" borderId="34" xfId="0" applyFont="1" applyBorder="1" applyAlignment="1">
      <alignment horizontal="center" vertical="center"/>
    </xf>
    <xf numFmtId="0" fontId="69" fillId="0" borderId="27" xfId="0" applyFont="1" applyBorder="1" applyAlignment="1">
      <alignment horizontal="center" vertical="center"/>
    </xf>
    <xf numFmtId="0" fontId="8" fillId="4" borderId="7" xfId="0" applyFont="1" applyFill="1" applyBorder="1">
      <alignment vertical="center"/>
    </xf>
    <xf numFmtId="0" fontId="8" fillId="4" borderId="3" xfId="0" applyFont="1" applyFill="1" applyBorder="1">
      <alignment vertical="center"/>
    </xf>
    <xf numFmtId="0" fontId="8" fillId="4" borderId="4" xfId="0" applyFont="1" applyFill="1" applyBorder="1">
      <alignment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4" fillId="9" borderId="13"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10" borderId="5"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4" fillId="9" borderId="4" xfId="0" applyFont="1" applyFill="1" applyBorder="1" applyAlignment="1">
      <alignment horizontal="center" vertical="center" wrapText="1"/>
    </xf>
    <xf numFmtId="0" fontId="69" fillId="5" borderId="29" xfId="0" applyFont="1" applyFill="1" applyBorder="1" applyAlignment="1">
      <alignment horizontal="center" vertical="center"/>
    </xf>
    <xf numFmtId="0" fontId="69" fillId="5" borderId="38" xfId="0" applyFont="1" applyFill="1" applyBorder="1" applyAlignment="1">
      <alignment horizontal="center" vertical="center"/>
    </xf>
    <xf numFmtId="0" fontId="69" fillId="5" borderId="30" xfId="0" applyFont="1" applyFill="1" applyBorder="1" applyAlignment="1">
      <alignment horizontal="center" vertical="center"/>
    </xf>
    <xf numFmtId="0" fontId="69" fillId="5" borderId="37" xfId="0" applyFont="1" applyFill="1" applyBorder="1" applyAlignment="1">
      <alignment horizontal="center" vertical="center"/>
    </xf>
    <xf numFmtId="0" fontId="69" fillId="5" borderId="0" xfId="0" applyFont="1" applyFill="1" applyAlignment="1">
      <alignment horizontal="center" vertical="center"/>
    </xf>
    <xf numFmtId="0" fontId="61" fillId="7" borderId="1" xfId="56" applyFill="1" applyBorder="1" applyAlignment="1">
      <alignment horizontal="center" vertical="center"/>
    </xf>
    <xf numFmtId="0" fontId="75" fillId="0" borderId="0" xfId="2" applyFont="1" applyFill="1" applyAlignment="1">
      <alignment horizontal="left" vertical="top" wrapText="1"/>
    </xf>
    <xf numFmtId="0" fontId="51" fillId="5" borderId="0" xfId="4" applyFont="1" applyFill="1" applyAlignment="1">
      <alignment vertical="top" wrapText="1"/>
    </xf>
    <xf numFmtId="0" fontId="75" fillId="0" borderId="29" xfId="2" applyFont="1" applyFill="1" applyBorder="1" applyAlignment="1">
      <alignment horizontal="left" vertical="top" wrapText="1"/>
    </xf>
    <xf numFmtId="0" fontId="70" fillId="11" borderId="0" xfId="0" applyFont="1" applyFill="1" applyAlignment="1">
      <alignment horizontal="center" vertical="center"/>
    </xf>
    <xf numFmtId="0" fontId="70" fillId="11" borderId="26" xfId="0" applyFont="1" applyFill="1" applyBorder="1" applyAlignment="1">
      <alignment horizontal="center" vertical="center"/>
    </xf>
    <xf numFmtId="0" fontId="70" fillId="11" borderId="26" xfId="3" applyFont="1" applyFill="1" applyBorder="1" applyAlignment="1">
      <alignment horizontal="center" vertical="center"/>
    </xf>
    <xf numFmtId="0" fontId="70" fillId="11" borderId="27" xfId="0" applyFont="1" applyFill="1" applyBorder="1" applyAlignment="1">
      <alignment horizontal="center" vertical="center"/>
    </xf>
    <xf numFmtId="0" fontId="70" fillId="0" borderId="28" xfId="0" applyFont="1" applyBorder="1" applyAlignment="1">
      <alignment horizontal="center" vertical="center"/>
    </xf>
    <xf numFmtId="14" fontId="69" fillId="0" borderId="29" xfId="0" applyNumberFormat="1" applyFont="1" applyBorder="1" applyAlignment="1">
      <alignment horizontal="center" vertical="center" wrapText="1"/>
    </xf>
    <xf numFmtId="49" fontId="69" fillId="2" borderId="37" xfId="0" applyNumberFormat="1" applyFont="1" applyFill="1" applyBorder="1" applyAlignment="1">
      <alignment horizontal="center" vertical="center" wrapText="1"/>
    </xf>
    <xf numFmtId="49" fontId="69" fillId="0" borderId="29" xfId="0" applyNumberFormat="1" applyFont="1" applyBorder="1" applyAlignment="1">
      <alignment horizontal="center" vertical="center" wrapText="1"/>
    </xf>
    <xf numFmtId="49" fontId="69" fillId="0" borderId="30" xfId="0" applyNumberFormat="1" applyFont="1" applyBorder="1" applyAlignment="1">
      <alignment horizontal="left" vertical="top" wrapText="1"/>
    </xf>
    <xf numFmtId="49" fontId="69" fillId="0" borderId="37" xfId="0" applyNumberFormat="1" applyFont="1" applyBorder="1" applyAlignment="1">
      <alignment horizontal="center" vertical="center" wrapText="1"/>
    </xf>
    <xf numFmtId="49" fontId="69" fillId="0" borderId="43" xfId="0" applyNumberFormat="1" applyFont="1" applyBorder="1" applyAlignment="1">
      <alignment horizontal="left" vertical="top" wrapText="1"/>
    </xf>
    <xf numFmtId="49" fontId="69" fillId="0" borderId="28" xfId="0" applyNumberFormat="1" applyFont="1" applyBorder="1" applyAlignment="1">
      <alignment horizontal="center" vertical="center" wrapText="1"/>
    </xf>
    <xf numFmtId="49" fontId="69" fillId="0" borderId="57" xfId="0" applyNumberFormat="1" applyFont="1" applyBorder="1" applyAlignment="1">
      <alignment horizontal="left" vertical="top" wrapText="1"/>
    </xf>
    <xf numFmtId="49" fontId="69" fillId="0" borderId="31" xfId="0" applyNumberFormat="1" applyFont="1" applyBorder="1" applyAlignment="1">
      <alignment horizontal="center" vertical="center" wrapText="1"/>
    </xf>
    <xf numFmtId="49" fontId="69" fillId="0" borderId="39" xfId="0" applyNumberFormat="1" applyFont="1" applyBorder="1" applyAlignment="1">
      <alignment horizontal="left" vertical="top" wrapText="1"/>
    </xf>
    <xf numFmtId="0" fontId="69" fillId="0" borderId="26" xfId="0" applyFont="1" applyBorder="1" applyAlignment="1">
      <alignment horizontal="left" vertical="top" wrapText="1"/>
    </xf>
    <xf numFmtId="0" fontId="69" fillId="0" borderId="59" xfId="0" applyFont="1" applyBorder="1" applyAlignment="1">
      <alignment horizontal="left" vertical="top" wrapText="1"/>
    </xf>
    <xf numFmtId="0" fontId="69" fillId="0" borderId="26" xfId="0" applyFont="1" applyBorder="1" applyAlignment="1">
      <alignment horizontal="left" vertical="top"/>
    </xf>
    <xf numFmtId="0" fontId="69" fillId="0" borderId="63" xfId="0" applyFont="1" applyBorder="1" applyAlignment="1">
      <alignment horizontal="center" vertical="center"/>
    </xf>
    <xf numFmtId="0" fontId="69" fillId="0" borderId="36" xfId="0" applyFont="1" applyBorder="1" applyAlignment="1">
      <alignment horizontal="left" vertical="top"/>
    </xf>
    <xf numFmtId="0" fontId="69" fillId="0" borderId="41" xfId="0" applyFont="1" applyBorder="1" applyAlignment="1">
      <alignment horizontal="center" vertical="center"/>
    </xf>
    <xf numFmtId="0" fontId="69" fillId="0" borderId="35" xfId="0" applyFont="1" applyBorder="1" applyAlignment="1">
      <alignment horizontal="left" vertical="top"/>
    </xf>
    <xf numFmtId="0" fontId="69" fillId="0" borderId="42" xfId="0" applyFont="1" applyBorder="1" applyAlignment="1">
      <alignment horizontal="center" vertical="center"/>
    </xf>
    <xf numFmtId="49" fontId="69" fillId="2" borderId="26" xfId="0" applyNumberFormat="1" applyFont="1" applyFill="1" applyBorder="1" applyAlignment="1">
      <alignment horizontal="center" vertical="center" wrapText="1"/>
    </xf>
    <xf numFmtId="14" fontId="69" fillId="0" borderId="31" xfId="0" applyNumberFormat="1" applyFont="1" applyBorder="1" applyAlignment="1">
      <alignment horizontal="center" vertical="center"/>
    </xf>
    <xf numFmtId="14" fontId="69" fillId="0" borderId="39" xfId="0" applyNumberFormat="1" applyFont="1" applyBorder="1" applyAlignment="1">
      <alignment horizontal="center" vertical="center"/>
    </xf>
    <xf numFmtId="0" fontId="71" fillId="0" borderId="26" xfId="0" applyFont="1" applyBorder="1" applyAlignment="1">
      <alignment horizontal="left" vertical="top" wrapText="1"/>
    </xf>
    <xf numFmtId="0" fontId="71" fillId="0" borderId="26" xfId="0" applyFont="1" applyBorder="1" applyAlignment="1">
      <alignment horizontal="left" vertical="top"/>
    </xf>
    <xf numFmtId="0" fontId="69" fillId="0" borderId="34" xfId="0" applyFont="1" applyBorder="1" applyAlignment="1">
      <alignment horizontal="left" vertical="top" wrapText="1"/>
    </xf>
    <xf numFmtId="0" fontId="69" fillId="0" borderId="60" xfId="0" applyFont="1" applyBorder="1" applyAlignment="1">
      <alignment horizontal="left" vertical="top" wrapText="1"/>
    </xf>
    <xf numFmtId="0" fontId="69" fillId="0" borderId="61" xfId="0" applyFont="1" applyBorder="1" applyAlignment="1">
      <alignment horizontal="left" vertical="top"/>
    </xf>
    <xf numFmtId="0" fontId="69" fillId="0" borderId="62" xfId="0" applyFont="1" applyBorder="1" applyAlignment="1">
      <alignment horizontal="left" vertical="top"/>
    </xf>
    <xf numFmtId="0" fontId="69" fillId="0" borderId="41" xfId="0" applyFont="1" applyBorder="1" applyAlignment="1">
      <alignment horizontal="left" vertical="top"/>
    </xf>
    <xf numFmtId="0" fontId="69" fillId="0" borderId="30" xfId="0" applyFont="1" applyBorder="1" applyAlignment="1">
      <alignment horizontal="left" vertical="top" wrapText="1"/>
    </xf>
    <xf numFmtId="0" fontId="69" fillId="0" borderId="32" xfId="0" applyFont="1" applyBorder="1" applyAlignment="1">
      <alignment horizontal="left" vertical="top" wrapText="1"/>
    </xf>
    <xf numFmtId="14" fontId="69" fillId="0" borderId="26" xfId="3" applyNumberFormat="1" applyFont="1" applyBorder="1" applyAlignment="1">
      <alignment horizontal="center" vertical="center"/>
    </xf>
    <xf numFmtId="14" fontId="69" fillId="0" borderId="32" xfId="3" applyNumberFormat="1" applyFont="1" applyBorder="1" applyAlignment="1">
      <alignment horizontal="center" vertical="center"/>
    </xf>
    <xf numFmtId="14" fontId="69" fillId="0" borderId="32" xfId="0" applyNumberFormat="1" applyFont="1" applyBorder="1" applyAlignment="1">
      <alignment horizontal="center" vertical="center"/>
    </xf>
    <xf numFmtId="14" fontId="69" fillId="0" borderId="37" xfId="0" applyNumberFormat="1" applyFont="1" applyBorder="1" applyAlignment="1">
      <alignment horizontal="center" vertical="center"/>
    </xf>
    <xf numFmtId="0" fontId="71" fillId="0" borderId="0" xfId="0" applyFont="1" applyAlignment="1">
      <alignment horizontal="center" vertical="center"/>
    </xf>
    <xf numFmtId="0" fontId="69" fillId="0" borderId="35" xfId="0" applyFont="1" applyBorder="1" applyAlignment="1">
      <alignment horizontal="left" vertical="top" wrapText="1"/>
    </xf>
    <xf numFmtId="0" fontId="69" fillId="0" borderId="36" xfId="0" applyFont="1" applyBorder="1" applyAlignment="1">
      <alignment horizontal="left" vertical="top" wrapText="1"/>
    </xf>
    <xf numFmtId="14" fontId="69" fillId="0" borderId="31" xfId="3" applyNumberFormat="1" applyFont="1" applyBorder="1" applyAlignment="1">
      <alignment horizontal="center" vertical="center"/>
    </xf>
    <xf numFmtId="0" fontId="69" fillId="0" borderId="33" xfId="0" applyFont="1" applyBorder="1" applyAlignment="1">
      <alignment horizontal="left" vertical="top"/>
    </xf>
    <xf numFmtId="0" fontId="69" fillId="0" borderId="30" xfId="0" applyFont="1" applyBorder="1" applyAlignment="1">
      <alignment horizontal="left" vertical="top"/>
    </xf>
    <xf numFmtId="0" fontId="69" fillId="0" borderId="33" xfId="0" applyFont="1" applyBorder="1" applyAlignment="1">
      <alignment horizontal="left" vertical="top" wrapText="1"/>
    </xf>
    <xf numFmtId="49" fontId="69" fillId="0" borderId="39" xfId="0" applyNumberFormat="1" applyFont="1" applyBorder="1" applyAlignment="1">
      <alignment horizontal="center" vertical="center" wrapText="1"/>
    </xf>
    <xf numFmtId="49" fontId="69" fillId="0" borderId="40" xfId="0" applyNumberFormat="1" applyFont="1" applyBorder="1" applyAlignment="1">
      <alignment horizontal="center" vertical="center" wrapText="1"/>
    </xf>
    <xf numFmtId="14" fontId="69" fillId="0" borderId="29" xfId="0" applyNumberFormat="1" applyFont="1" applyBorder="1" applyAlignment="1">
      <alignment horizontal="center" vertical="center"/>
    </xf>
    <xf numFmtId="0" fontId="69" fillId="0" borderId="29" xfId="0" applyFont="1" applyBorder="1" applyAlignment="1">
      <alignment horizontal="center" vertical="center" wrapText="1"/>
    </xf>
    <xf numFmtId="0" fontId="69" fillId="0" borderId="38" xfId="0" applyFont="1" applyBorder="1" applyAlignment="1">
      <alignment horizontal="left" vertical="top"/>
    </xf>
    <xf numFmtId="14" fontId="69" fillId="0" borderId="28" xfId="0" applyNumberFormat="1" applyFont="1" applyBorder="1" applyAlignment="1">
      <alignment horizontal="center" vertical="center"/>
    </xf>
    <xf numFmtId="0" fontId="69" fillId="0" borderId="28" xfId="0" applyFont="1" applyBorder="1" applyAlignment="1">
      <alignment horizontal="left" vertical="top" wrapText="1"/>
    </xf>
    <xf numFmtId="49" fontId="69" fillId="0" borderId="26" xfId="0" applyNumberFormat="1" applyFont="1" applyBorder="1" applyAlignment="1">
      <alignment horizontal="center" vertical="center" wrapText="1"/>
    </xf>
    <xf numFmtId="0" fontId="69" fillId="0" borderId="40" xfId="0" applyFont="1" applyBorder="1" applyAlignment="1">
      <alignment horizontal="left" vertical="top" wrapText="1"/>
    </xf>
    <xf numFmtId="0" fontId="69" fillId="0" borderId="27" xfId="0" applyFont="1" applyBorder="1" applyAlignment="1">
      <alignment horizontal="left" vertical="top"/>
    </xf>
    <xf numFmtId="0" fontId="69" fillId="0" borderId="34" xfId="0" applyFont="1" applyBorder="1" applyAlignment="1">
      <alignment horizontal="left" vertical="top"/>
    </xf>
    <xf numFmtId="0" fontId="69" fillId="0" borderId="39" xfId="0" applyFont="1" applyBorder="1" applyAlignment="1">
      <alignment horizontal="left" vertical="top" wrapText="1"/>
    </xf>
    <xf numFmtId="49" fontId="69" fillId="0" borderId="32" xfId="0" applyNumberFormat="1" applyFont="1" applyBorder="1" applyAlignment="1">
      <alignment horizontal="center" vertical="center" wrapText="1"/>
    </xf>
    <xf numFmtId="0" fontId="69" fillId="0" borderId="31" xfId="0" applyFont="1" applyBorder="1" applyAlignment="1">
      <alignment horizontal="left" vertical="top" wrapText="1"/>
    </xf>
    <xf numFmtId="0" fontId="69" fillId="0" borderId="35" xfId="0" quotePrefix="1" applyFont="1" applyBorder="1" applyAlignment="1">
      <alignment horizontal="left" vertical="top" wrapText="1"/>
    </xf>
    <xf numFmtId="0" fontId="69" fillId="5" borderId="28" xfId="0" applyFont="1" applyFill="1" applyBorder="1" applyAlignment="1">
      <alignment horizontal="center" vertical="center"/>
    </xf>
    <xf numFmtId="0" fontId="69" fillId="5" borderId="34" xfId="0" applyFont="1" applyFill="1" applyBorder="1" applyAlignment="1">
      <alignment horizontal="center" vertical="center"/>
    </xf>
    <xf numFmtId="0" fontId="69" fillId="5" borderId="26" xfId="0" applyFont="1" applyFill="1" applyBorder="1" applyAlignment="1">
      <alignment horizontal="center" vertical="center"/>
    </xf>
    <xf numFmtId="14" fontId="69" fillId="0" borderId="33" xfId="0" applyNumberFormat="1" applyFont="1" applyBorder="1" applyAlignment="1">
      <alignment horizontal="center" vertical="center"/>
    </xf>
    <xf numFmtId="0" fontId="69" fillId="0" borderId="32" xfId="0" applyFont="1" applyBorder="1" applyAlignment="1">
      <alignment horizontal="left" vertical="center" wrapText="1"/>
    </xf>
    <xf numFmtId="14" fontId="69" fillId="0" borderId="26" xfId="0" applyNumberFormat="1" applyFont="1" applyBorder="1" applyAlignment="1">
      <alignment horizontal="center" vertical="center"/>
    </xf>
    <xf numFmtId="0" fontId="69" fillId="0" borderId="29" xfId="0" applyFont="1" applyBorder="1" applyAlignment="1">
      <alignment vertical="top" wrapText="1"/>
    </xf>
    <xf numFmtId="0" fontId="70" fillId="0" borderId="31" xfId="0" applyFont="1" applyBorder="1" applyAlignment="1">
      <alignment horizontal="center" vertical="center"/>
    </xf>
    <xf numFmtId="0" fontId="70" fillId="0" borderId="39" xfId="0" applyFont="1" applyBorder="1" applyAlignment="1">
      <alignment horizontal="center" vertical="center"/>
    </xf>
    <xf numFmtId="0" fontId="69" fillId="0" borderId="40" xfId="0" applyFont="1" applyBorder="1" applyAlignment="1">
      <alignment horizontal="left" vertical="top"/>
    </xf>
    <xf numFmtId="14" fontId="69" fillId="0" borderId="34" xfId="0" applyNumberFormat="1" applyFont="1" applyBorder="1" applyAlignment="1">
      <alignment horizontal="center" vertical="center"/>
    </xf>
    <xf numFmtId="14" fontId="69" fillId="0" borderId="28" xfId="3" applyNumberFormat="1" applyFont="1" applyBorder="1" applyAlignment="1">
      <alignment horizontal="center" vertical="center"/>
    </xf>
    <xf numFmtId="49" fontId="69" fillId="0" borderId="30" xfId="0" applyNumberFormat="1" applyFont="1" applyBorder="1" applyAlignment="1">
      <alignment horizontal="center" vertical="center" wrapText="1"/>
    </xf>
    <xf numFmtId="49" fontId="69" fillId="0" borderId="37" xfId="0" applyNumberFormat="1" applyFont="1" applyBorder="1" applyAlignment="1">
      <alignment horizontal="left" vertical="top" wrapText="1"/>
    </xf>
    <xf numFmtId="14" fontId="69" fillId="0" borderId="0" xfId="0" applyNumberFormat="1" applyFont="1" applyAlignment="1">
      <alignment horizontal="left" vertical="top"/>
    </xf>
    <xf numFmtId="0" fontId="69" fillId="0" borderId="30" xfId="0" applyFont="1" applyBorder="1" applyAlignment="1">
      <alignment horizontal="center" vertical="center" wrapText="1"/>
    </xf>
    <xf numFmtId="0" fontId="69" fillId="0" borderId="0" xfId="0" applyFont="1" applyAlignment="1">
      <alignment horizontal="center" vertical="center" wrapText="1"/>
    </xf>
    <xf numFmtId="14" fontId="69" fillId="0" borderId="33" xfId="3" applyNumberFormat="1" applyFont="1" applyBorder="1" applyAlignment="1">
      <alignment horizontal="center" vertical="center"/>
    </xf>
    <xf numFmtId="14" fontId="69" fillId="0" borderId="40" xfId="0" applyNumberFormat="1" applyFont="1" applyBorder="1" applyAlignment="1">
      <alignment horizontal="center" vertical="center"/>
    </xf>
    <xf numFmtId="14" fontId="69" fillId="0" borderId="38" xfId="3" applyNumberFormat="1" applyFont="1" applyBorder="1" applyAlignment="1">
      <alignment horizontal="center" vertical="center"/>
    </xf>
    <xf numFmtId="14" fontId="69" fillId="0" borderId="27" xfId="3" applyNumberFormat="1" applyFont="1" applyBorder="1" applyAlignment="1">
      <alignment horizontal="center" vertical="center"/>
    </xf>
    <xf numFmtId="14" fontId="69" fillId="0" borderId="39" xfId="3" applyNumberFormat="1" applyFont="1" applyBorder="1" applyAlignment="1">
      <alignment horizontal="center" vertical="center"/>
    </xf>
    <xf numFmtId="14" fontId="69" fillId="0" borderId="29" xfId="3" applyNumberFormat="1" applyFont="1" applyBorder="1" applyAlignment="1">
      <alignment horizontal="center" vertical="center"/>
    </xf>
    <xf numFmtId="14" fontId="69" fillId="0" borderId="40" xfId="3" applyNumberFormat="1" applyFont="1" applyBorder="1" applyAlignment="1">
      <alignment horizontal="center" vertical="center"/>
    </xf>
    <xf numFmtId="0" fontId="64" fillId="0" borderId="0" xfId="0" applyFont="1" applyAlignment="1">
      <alignment horizontal="left" vertical="top"/>
    </xf>
    <xf numFmtId="0" fontId="69" fillId="0" borderId="0" xfId="0" applyFont="1" applyAlignment="1">
      <alignment vertical="top"/>
    </xf>
    <xf numFmtId="0" fontId="70" fillId="0" borderId="0" xfId="3" applyFont="1" applyAlignment="1">
      <alignment horizontal="center" vertical="center"/>
    </xf>
    <xf numFmtId="0" fontId="69" fillId="0" borderId="0" xfId="3" applyFont="1" applyAlignment="1">
      <alignment horizontal="left" vertical="top" wrapText="1"/>
    </xf>
    <xf numFmtId="0" fontId="69" fillId="0" borderId="0" xfId="3" applyFont="1" applyAlignment="1">
      <alignment horizontal="center" vertical="center"/>
    </xf>
    <xf numFmtId="0" fontId="69" fillId="0" borderId="0" xfId="3" applyFont="1" applyAlignment="1">
      <alignment horizontal="left" vertical="top"/>
    </xf>
    <xf numFmtId="0" fontId="69" fillId="0" borderId="0" xfId="0" quotePrefix="1" applyFont="1" applyAlignment="1">
      <alignment horizontal="left" vertical="top" wrapText="1"/>
    </xf>
    <xf numFmtId="0" fontId="69" fillId="0" borderId="0" xfId="0" quotePrefix="1" applyFont="1" applyAlignment="1">
      <alignment horizontal="left" vertical="top"/>
    </xf>
    <xf numFmtId="0" fontId="76" fillId="0" borderId="0" xfId="0" applyFont="1">
      <alignment vertical="center"/>
    </xf>
    <xf numFmtId="0" fontId="69" fillId="0" borderId="31" xfId="0" applyFont="1" applyBorder="1" applyAlignment="1">
      <alignment horizontal="left" vertical="top"/>
    </xf>
    <xf numFmtId="0" fontId="69" fillId="5" borderId="35" xfId="0" applyFont="1" applyFill="1" applyBorder="1" applyAlignment="1">
      <alignment horizontal="center" vertical="center"/>
    </xf>
    <xf numFmtId="0" fontId="69" fillId="5" borderId="36" xfId="0" applyFont="1" applyFill="1" applyBorder="1" applyAlignment="1">
      <alignment horizontal="center" vertical="center"/>
    </xf>
    <xf numFmtId="0" fontId="69" fillId="0" borderId="27" xfId="0" applyFont="1" applyBorder="1" applyAlignment="1">
      <alignment horizontal="left" vertical="top" wrapText="1"/>
    </xf>
    <xf numFmtId="0" fontId="75" fillId="0" borderId="40" xfId="2" applyFont="1" applyFill="1" applyBorder="1" applyAlignment="1">
      <alignment horizontal="left" vertical="top" wrapText="1"/>
    </xf>
    <xf numFmtId="1" fontId="70" fillId="0" borderId="0" xfId="0" applyNumberFormat="1" applyFont="1" applyAlignment="1">
      <alignment horizontal="center" vertical="center"/>
    </xf>
    <xf numFmtId="0" fontId="45" fillId="0" borderId="0" xfId="4" applyFont="1" applyAlignment="1">
      <alignment vertical="top" wrapText="1"/>
    </xf>
    <xf numFmtId="0" fontId="53" fillId="14" borderId="0" xfId="11" applyFont="1" applyAlignment="1">
      <alignment horizontal="left" vertical="top" wrapText="1"/>
    </xf>
    <xf numFmtId="0" fontId="4" fillId="10" borderId="8"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16" fillId="9" borderId="15" xfId="2" applyFill="1" applyBorder="1" applyAlignment="1">
      <alignment horizontal="center" vertical="center"/>
    </xf>
    <xf numFmtId="0" fontId="4" fillId="9" borderId="5" xfId="0" applyFont="1" applyFill="1" applyBorder="1" applyAlignment="1">
      <alignment horizontal="center" vertical="center" wrapText="1"/>
    </xf>
    <xf numFmtId="0" fontId="4" fillId="9" borderId="24" xfId="0" applyFont="1" applyFill="1" applyBorder="1" applyAlignment="1">
      <alignment horizontal="center" vertical="center"/>
    </xf>
    <xf numFmtId="0" fontId="4" fillId="10" borderId="56" xfId="0" applyFont="1" applyFill="1" applyBorder="1" applyAlignment="1">
      <alignment horizontal="center" vertical="center" wrapText="1"/>
    </xf>
    <xf numFmtId="0" fontId="4" fillId="10" borderId="56" xfId="0" applyFont="1" applyFill="1" applyBorder="1" applyAlignment="1">
      <alignment horizontal="center" vertical="center"/>
    </xf>
    <xf numFmtId="0" fontId="4" fillId="10" borderId="11" xfId="0" applyFont="1" applyFill="1" applyBorder="1" applyAlignment="1">
      <alignment horizontal="center" vertical="center" wrapText="1"/>
    </xf>
    <xf numFmtId="0" fontId="16" fillId="10" borderId="64" xfId="2" applyFill="1" applyBorder="1" applyAlignment="1">
      <alignment horizontal="center" vertical="center"/>
    </xf>
    <xf numFmtId="0" fontId="4" fillId="10" borderId="65" xfId="0" applyFont="1" applyFill="1" applyBorder="1" applyAlignment="1">
      <alignment horizontal="center" vertical="center" wrapText="1"/>
    </xf>
    <xf numFmtId="0" fontId="4" fillId="10" borderId="56" xfId="0" applyFont="1" applyFill="1" applyBorder="1" applyAlignment="1">
      <alignment horizontal="left" vertical="center" wrapText="1"/>
    </xf>
    <xf numFmtId="0" fontId="16" fillId="9" borderId="13" xfId="2" applyFill="1" applyBorder="1" applyAlignment="1">
      <alignment horizontal="center" vertical="center"/>
    </xf>
    <xf numFmtId="0" fontId="4" fillId="10" borderId="2" xfId="0" applyFont="1" applyFill="1" applyBorder="1" applyAlignment="1">
      <alignment horizontal="center" vertical="center"/>
    </xf>
    <xf numFmtId="0" fontId="4" fillId="10" borderId="2" xfId="0" applyFont="1" applyFill="1" applyBorder="1" applyAlignment="1">
      <alignment horizontal="center" vertical="center" wrapText="1"/>
    </xf>
    <xf numFmtId="0" fontId="77" fillId="10" borderId="2" xfId="0" applyFont="1" applyFill="1" applyBorder="1" applyAlignment="1">
      <alignment horizontal="center" vertical="center"/>
    </xf>
    <xf numFmtId="0" fontId="16" fillId="10" borderId="5" xfId="2" applyFill="1" applyBorder="1" applyAlignment="1">
      <alignment horizontal="center" vertical="center"/>
    </xf>
    <xf numFmtId="0" fontId="0" fillId="10" borderId="5" xfId="0" applyFill="1" applyBorder="1">
      <alignment vertical="center"/>
    </xf>
    <xf numFmtId="0" fontId="0" fillId="10" borderId="1" xfId="0" applyFill="1" applyBorder="1">
      <alignment vertical="center"/>
    </xf>
    <xf numFmtId="0" fontId="0" fillId="10" borderId="2" xfId="0" applyFill="1" applyBorder="1">
      <alignment vertical="center"/>
    </xf>
    <xf numFmtId="0" fontId="0" fillId="0" borderId="36" xfId="0" applyBorder="1">
      <alignment vertical="center"/>
    </xf>
    <xf numFmtId="0" fontId="69" fillId="0" borderId="58" xfId="0" applyFont="1" applyBorder="1" applyAlignment="1">
      <alignment horizontal="left" vertical="top" wrapText="1"/>
    </xf>
    <xf numFmtId="0" fontId="79" fillId="0" borderId="0" xfId="4" applyFont="1">
      <alignment vertical="top"/>
    </xf>
    <xf numFmtId="14" fontId="27" fillId="0" borderId="0" xfId="4" applyNumberFormat="1" applyFont="1" applyAlignment="1">
      <alignment vertical="top" wrapText="1"/>
    </xf>
    <xf numFmtId="0" fontId="54" fillId="0" borderId="0" xfId="4" applyFont="1" applyAlignment="1">
      <alignment horizontal="left"/>
    </xf>
    <xf numFmtId="0" fontId="80" fillId="14" borderId="0" xfId="11" applyFont="1" applyAlignment="1">
      <alignment vertical="top"/>
    </xf>
    <xf numFmtId="0" fontId="78" fillId="5" borderId="1" xfId="0" applyFont="1" applyFill="1" applyBorder="1" applyAlignment="1">
      <alignment horizontal="center" vertical="center"/>
    </xf>
    <xf numFmtId="0" fontId="68" fillId="0" borderId="0" xfId="4" applyFont="1">
      <alignment vertical="top"/>
    </xf>
    <xf numFmtId="0" fontId="82" fillId="14" borderId="0" xfId="11" applyFont="1" applyAlignment="1">
      <alignment vertical="top" wrapText="1"/>
    </xf>
    <xf numFmtId="0" fontId="81" fillId="0" borderId="0" xfId="4" applyFont="1" applyAlignment="1">
      <alignment vertical="top" wrapText="1"/>
    </xf>
    <xf numFmtId="0" fontId="79" fillId="0" borderId="0" xfId="4" applyFont="1" applyAlignment="1">
      <alignment vertical="top" wrapText="1"/>
    </xf>
    <xf numFmtId="0" fontId="69" fillId="0" borderId="34" xfId="0" applyFont="1" applyBorder="1" applyAlignment="1">
      <alignment horizontal="center" vertical="center" wrapText="1"/>
    </xf>
    <xf numFmtId="0" fontId="69" fillId="0" borderId="35" xfId="0" applyFont="1" applyBorder="1" applyAlignment="1">
      <alignment horizontal="center" vertical="center" wrapText="1"/>
    </xf>
    <xf numFmtId="0" fontId="69" fillId="0" borderId="28" xfId="0" applyFont="1" applyBorder="1" applyAlignment="1">
      <alignment horizontal="center" vertical="center" wrapText="1"/>
    </xf>
    <xf numFmtId="0" fontId="69" fillId="0" borderId="27" xfId="0" applyFont="1" applyBorder="1" applyAlignment="1">
      <alignment horizontal="center" vertical="center" wrapText="1"/>
    </xf>
    <xf numFmtId="0" fontId="69" fillId="0" borderId="37" xfId="0" applyFont="1" applyBorder="1" applyAlignment="1">
      <alignment horizontal="center" vertical="center" wrapText="1"/>
    </xf>
    <xf numFmtId="0" fontId="84" fillId="0" borderId="0" xfId="4" applyFont="1" applyAlignment="1">
      <alignment vertical="top" wrapText="1"/>
    </xf>
    <xf numFmtId="0" fontId="50" fillId="5" borderId="0" xfId="4" applyFont="1" applyFill="1" applyAlignment="1">
      <alignment vertical="top" wrapText="1"/>
    </xf>
    <xf numFmtId="0" fontId="1" fillId="0" borderId="0" xfId="57">
      <alignment vertical="center"/>
    </xf>
    <xf numFmtId="0" fontId="69" fillId="0" borderId="0" xfId="57" applyFont="1" applyAlignment="1">
      <alignment horizontal="center" vertical="center"/>
    </xf>
    <xf numFmtId="14" fontId="69" fillId="0" borderId="0" xfId="57" applyNumberFormat="1" applyFont="1" applyAlignment="1">
      <alignment horizontal="center" vertical="center"/>
    </xf>
    <xf numFmtId="0" fontId="69" fillId="0" borderId="0" xfId="57" applyFont="1" applyAlignment="1">
      <alignment horizontal="left" vertical="top" wrapText="1"/>
    </xf>
    <xf numFmtId="0" fontId="69" fillId="0" borderId="35" xfId="57" applyFont="1" applyBorder="1" applyAlignment="1">
      <alignment horizontal="center" vertical="center"/>
    </xf>
    <xf numFmtId="49" fontId="69" fillId="0" borderId="29" xfId="57" applyNumberFormat="1" applyFont="1" applyBorder="1" applyAlignment="1">
      <alignment horizontal="center" vertical="center" wrapText="1"/>
    </xf>
    <xf numFmtId="49" fontId="69" fillId="2" borderId="29" xfId="57" applyNumberFormat="1" applyFont="1" applyFill="1" applyBorder="1" applyAlignment="1">
      <alignment horizontal="center" vertical="center" wrapText="1"/>
    </xf>
    <xf numFmtId="0" fontId="69" fillId="0" borderId="37" xfId="57" applyFont="1" applyBorder="1" applyAlignment="1">
      <alignment horizontal="left" vertical="top"/>
    </xf>
    <xf numFmtId="0" fontId="69" fillId="0" borderId="32" xfId="57" applyFont="1" applyBorder="1" applyAlignment="1">
      <alignment horizontal="left" vertical="top" wrapText="1"/>
    </xf>
    <xf numFmtId="0" fontId="69" fillId="0" borderId="0" xfId="57" applyFont="1" applyAlignment="1">
      <alignment horizontal="center" vertical="center" wrapText="1"/>
    </xf>
    <xf numFmtId="0" fontId="69" fillId="0" borderId="29" xfId="57" applyFont="1" applyBorder="1" applyAlignment="1">
      <alignment horizontal="center" vertical="center" wrapText="1"/>
    </xf>
    <xf numFmtId="0" fontId="70" fillId="0" borderId="0" xfId="57" applyFont="1" applyAlignment="1">
      <alignment horizontal="center" vertical="center"/>
    </xf>
    <xf numFmtId="0" fontId="25" fillId="0" borderId="0" xfId="4" applyFont="1">
      <alignment vertical="top"/>
    </xf>
    <xf numFmtId="0" fontId="25" fillId="0" borderId="0" xfId="4" applyFont="1" applyAlignment="1">
      <alignment vertical="top" wrapText="1"/>
    </xf>
    <xf numFmtId="0" fontId="4" fillId="8" borderId="1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2" borderId="3" xfId="0" applyFont="1" applyFill="1" applyBorder="1" applyAlignment="1">
      <alignment horizontal="center" vertical="center"/>
    </xf>
    <xf numFmtId="0" fontId="0" fillId="14" borderId="0" xfId="11" applyFont="1" applyAlignment="1">
      <alignment vertical="top"/>
    </xf>
    <xf numFmtId="0" fontId="26" fillId="14" borderId="0" xfId="12">
      <alignment horizontal="left" vertical="top" wrapText="1" indent="1"/>
    </xf>
    <xf numFmtId="0" fontId="69" fillId="0" borderId="26" xfId="0" applyFont="1" applyBorder="1" applyAlignment="1">
      <alignment horizontal="center" vertical="center" wrapText="1"/>
    </xf>
    <xf numFmtId="0" fontId="69" fillId="11" borderId="30" xfId="0" applyFont="1" applyFill="1" applyBorder="1" applyAlignment="1">
      <alignment horizontal="center" vertical="center"/>
    </xf>
    <xf numFmtId="0" fontId="69" fillId="48" borderId="30" xfId="0" applyFont="1" applyFill="1" applyBorder="1" applyAlignment="1">
      <alignment horizontal="center" vertical="center"/>
    </xf>
    <xf numFmtId="0" fontId="19" fillId="12" borderId="0" xfId="5" applyFont="1" applyFill="1" applyBorder="1" applyAlignment="1">
      <alignment horizontal="left" vertical="center"/>
    </xf>
    <xf numFmtId="0" fontId="26" fillId="14" borderId="0" xfId="12">
      <alignment horizontal="left" vertical="top" wrapText="1" indent="1"/>
    </xf>
    <xf numFmtId="0" fontId="0" fillId="14" borderId="0" xfId="11" applyFont="1" applyAlignment="1">
      <alignment vertical="top"/>
    </xf>
    <xf numFmtId="0" fontId="8" fillId="4" borderId="1" xfId="0" applyFont="1" applyFill="1" applyBorder="1" applyAlignment="1">
      <alignment horizontal="center" vertical="center"/>
    </xf>
    <xf numFmtId="176" fontId="7" fillId="4" borderId="7" xfId="0" applyNumberFormat="1" applyFont="1" applyFill="1" applyBorder="1" applyAlignment="1">
      <alignment horizontal="center" vertical="center"/>
    </xf>
    <xf numFmtId="176" fontId="7" fillId="4" borderId="3" xfId="0" applyNumberFormat="1" applyFont="1" applyFill="1" applyBorder="1" applyAlignment="1">
      <alignment horizontal="center" vertical="center"/>
    </xf>
    <xf numFmtId="176" fontId="7" fillId="4" borderId="4" xfId="0" applyNumberFormat="1" applyFont="1" applyFill="1" applyBorder="1" applyAlignment="1">
      <alignment horizontal="center" vertical="center"/>
    </xf>
    <xf numFmtId="0" fontId="4" fillId="7" borderId="56"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66" fillId="47" borderId="56" xfId="0" applyFont="1" applyFill="1" applyBorder="1" applyAlignment="1">
      <alignment horizontal="center" vertical="center" wrapText="1"/>
    </xf>
    <xf numFmtId="0" fontId="66" fillId="47" borderId="2" xfId="0" applyFont="1" applyFill="1" applyBorder="1" applyAlignment="1">
      <alignment horizontal="center" vertical="center" wrapText="1"/>
    </xf>
    <xf numFmtId="0" fontId="4" fillId="8" borderId="56"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8" borderId="56" xfId="0" applyFont="1" applyFill="1" applyBorder="1" applyAlignment="1">
      <alignment horizontal="center" vertical="center"/>
    </xf>
    <xf numFmtId="0" fontId="4" fillId="8" borderId="11" xfId="0" applyFont="1" applyFill="1" applyBorder="1" applyAlignment="1">
      <alignment horizontal="center" vertical="center"/>
    </xf>
    <xf numFmtId="0" fontId="4" fillId="8" borderId="2" xfId="0" applyFont="1" applyFill="1" applyBorder="1" applyAlignment="1">
      <alignment horizontal="center" vertical="center"/>
    </xf>
    <xf numFmtId="0" fontId="4" fillId="7" borderId="56" xfId="0" applyFont="1" applyFill="1" applyBorder="1" applyAlignment="1">
      <alignment horizontal="center" vertical="center"/>
    </xf>
    <xf numFmtId="0" fontId="4" fillId="7" borderId="11" xfId="0" applyFont="1" applyFill="1" applyBorder="1" applyAlignment="1">
      <alignment horizontal="center" vertical="center"/>
    </xf>
    <xf numFmtId="0" fontId="4" fillId="7" borderId="2" xfId="0" applyFont="1" applyFill="1" applyBorder="1" applyAlignment="1">
      <alignment horizontal="center" vertic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6"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3" borderId="7"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8"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9" fillId="0" borderId="7" xfId="0" applyFont="1" applyBorder="1" applyAlignment="1">
      <alignment horizontal="center" vertical="center" wrapText="1"/>
    </xf>
    <xf numFmtId="0" fontId="8" fillId="4" borderId="7"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19" fillId="12" borderId="0" xfId="5" applyFont="1" applyFill="1" applyBorder="1">
      <alignment vertical="center"/>
    </xf>
    <xf numFmtId="0" fontId="20" fillId="12" borderId="0" xfId="7" applyFill="1"/>
  </cellXfs>
  <cellStyles count="78">
    <cellStyle name="20% - 강조색1" xfId="30" builtinId="30" customBuiltin="1"/>
    <cellStyle name="20% - 강조색1 2" xfId="59" xr:uid="{B84369B6-3A00-4DFA-B06E-E86116508EB6}"/>
    <cellStyle name="20% - 강조색2" xfId="34" builtinId="34" customBuiltin="1"/>
    <cellStyle name="20% - 강조색2 2" xfId="62" xr:uid="{885F613C-93A9-4F46-9C3F-11B085A8A63D}"/>
    <cellStyle name="20% - 강조색3" xfId="38" builtinId="38" customBuiltin="1"/>
    <cellStyle name="20% - 강조색3 2" xfId="65" xr:uid="{DCA87AE2-DDD0-40DC-8CE1-30F73AAD8FFD}"/>
    <cellStyle name="20% - 강조색4" xfId="42" builtinId="42" customBuiltin="1"/>
    <cellStyle name="20% - 강조색4 2" xfId="68" xr:uid="{2374C89F-3387-4F1C-A691-DF21A401C428}"/>
    <cellStyle name="20% - 강조색5" xfId="46" builtinId="46" customBuiltin="1"/>
    <cellStyle name="20% - 강조색5 2" xfId="71" xr:uid="{2276933B-0CA7-492D-B646-9B82725B184D}"/>
    <cellStyle name="20% - 강조색6" xfId="50" builtinId="50" customBuiltin="1"/>
    <cellStyle name="20% - 강조색6 2" xfId="74" xr:uid="{ADF32CBE-7B77-4FCB-ACF6-B1A29B7E9A0F}"/>
    <cellStyle name="40% - 강조색1" xfId="31" builtinId="31" customBuiltin="1"/>
    <cellStyle name="40% - 강조색1 2" xfId="60" xr:uid="{AF775BB4-8105-44DD-88C9-AE90ACA7AA0C}"/>
    <cellStyle name="40% - 강조색2" xfId="35" builtinId="35" customBuiltin="1"/>
    <cellStyle name="40% - 강조색2 2" xfId="63" xr:uid="{4B4BAF81-0EE2-46DE-9892-47AF30A5BC15}"/>
    <cellStyle name="40% - 강조색3" xfId="39" builtinId="39" customBuiltin="1"/>
    <cellStyle name="40% - 강조색3 2" xfId="66" xr:uid="{B971D5B8-4ABD-4391-9345-E7C41E798A9B}"/>
    <cellStyle name="40% - 강조색4" xfId="43" builtinId="43" customBuiltin="1"/>
    <cellStyle name="40% - 강조색4 2" xfId="69" xr:uid="{57D8FB3B-43D8-4118-9DF1-72E454CC1ED4}"/>
    <cellStyle name="40% - 강조색5" xfId="47" builtinId="47" customBuiltin="1"/>
    <cellStyle name="40% - 강조색5 2" xfId="72" xr:uid="{E209D68B-E6D3-42CB-8D91-2F7E85E310C7}"/>
    <cellStyle name="40% - 강조색6" xfId="51" builtinId="51" customBuiltin="1"/>
    <cellStyle name="40% - 강조색6 2" xfId="75" xr:uid="{6F4F8520-E096-4C7C-A279-0E6984480B20}"/>
    <cellStyle name="60% - 강조색1" xfId="32" builtinId="32" customBuiltin="1"/>
    <cellStyle name="60% - 강조색1 2" xfId="61" xr:uid="{B10190AD-FA71-4DDC-9478-3026D14AD5E1}"/>
    <cellStyle name="60% - 강조색2" xfId="36" builtinId="36" customBuiltin="1"/>
    <cellStyle name="60% - 강조색2 2" xfId="64" xr:uid="{D6F79F6A-0CFA-447C-A0D4-A3A8230A3992}"/>
    <cellStyle name="60% - 강조색3" xfId="40" builtinId="40" customBuiltin="1"/>
    <cellStyle name="60% - 강조색3 2" xfId="67" xr:uid="{62CDFE83-4C65-4AD6-90AE-430E643BAAB0}"/>
    <cellStyle name="60% - 강조색4" xfId="44" builtinId="44" customBuiltin="1"/>
    <cellStyle name="60% - 강조색4 2" xfId="70" xr:uid="{C8D95CA0-8918-4338-A372-02F2D7FC3A7D}"/>
    <cellStyle name="60% - 강조색5" xfId="48" builtinId="48" customBuiltin="1"/>
    <cellStyle name="60% - 강조색5 2" xfId="73" xr:uid="{2FEDC47D-BD0F-4801-8425-DECB43B4D04C}"/>
    <cellStyle name="60% - 강조색6" xfId="52" builtinId="52" customBuiltin="1"/>
    <cellStyle name="60% - 강조색6 2" xfId="76" xr:uid="{D47B4134-54A9-4A78-8B02-DEE91BE6BF71}"/>
    <cellStyle name="강조색1" xfId="29" builtinId="29" customBuiltin="1"/>
    <cellStyle name="강조색2" xfId="33" builtinId="33" customBuiltin="1"/>
    <cellStyle name="강조색3" xfId="37" builtinId="37" customBuiltin="1"/>
    <cellStyle name="강조색4" xfId="41" builtinId="41" customBuiltin="1"/>
    <cellStyle name="강조색5" xfId="45" builtinId="45" customBuiltin="1"/>
    <cellStyle name="강조색6" xfId="49" builtinId="49" customBuiltin="1"/>
    <cellStyle name="경고문" xfId="26" builtinId="11" customBuiltin="1"/>
    <cellStyle name="계산" xfId="23" builtinId="22" customBuiltin="1"/>
    <cellStyle name="나쁨" xfId="19" builtinId="27" customBuiltin="1"/>
    <cellStyle name="메모 2" xfId="55" xr:uid="{00000000-0005-0000-0000-00003D000000}"/>
    <cellStyle name="메모 3" xfId="58" xr:uid="{FE9A1C12-9D11-47BC-94E0-755C1FE64FFB}"/>
    <cellStyle name="보통" xfId="20" builtinId="28" customBuiltin="1"/>
    <cellStyle name="설명 텍스트" xfId="27" builtinId="53" customBuiltin="1"/>
    <cellStyle name="설정 항목" xfId="9" xr:uid="{95545076-6982-3145-9FEB-22EF300AF63A}"/>
    <cellStyle name="셀 확인" xfId="25" builtinId="23" customBuiltin="1"/>
    <cellStyle name="쉼표 [0] 2" xfId="54" xr:uid="{00000000-0005-0000-0000-00003E000000}"/>
    <cellStyle name="연결된 셀" xfId="24" builtinId="24" customBuiltin="1"/>
    <cellStyle name="요약" xfId="28" builtinId="25" customBuiltin="1"/>
    <cellStyle name="요일" xfId="10" xr:uid="{21674A08-A162-DF45-885F-90374D546F9F}"/>
    <cellStyle name="입력" xfId="21" builtinId="20" customBuiltin="1"/>
    <cellStyle name="제목" xfId="13" builtinId="15" customBuiltin="1"/>
    <cellStyle name="제목 1" xfId="14" builtinId="16" customBuiltin="1"/>
    <cellStyle name="제목 1 2" xfId="6" xr:uid="{CF6DC85B-EE43-5645-8177-B346B125257E}"/>
    <cellStyle name="제목 2" xfId="15" builtinId="17" customBuiltin="1"/>
    <cellStyle name="제목 2 2" xfId="7" xr:uid="{E134057F-F10C-4A4B-BC80-41DB1B10115F}"/>
    <cellStyle name="제목 3" xfId="16" builtinId="18" customBuiltin="1"/>
    <cellStyle name="제목 3 2" xfId="8" xr:uid="{C572A244-C748-284C-B256-D8D3EF794697}"/>
    <cellStyle name="제목 4" xfId="17" builtinId="19" customBuiltin="1"/>
    <cellStyle name="제목 4 2" xfId="12" xr:uid="{224E4E78-3ADA-9049-86D6-657A5F6A9C5D}"/>
    <cellStyle name="제목 5" xfId="5" xr:uid="{9EB46D79-2AD0-BA43-AEB9-6DC3CD52BB02}"/>
    <cellStyle name="좋음" xfId="18" builtinId="26" customBuiltin="1"/>
    <cellStyle name="줄무늬" xfId="11" xr:uid="{ED7C5A38-B762-EE42-AEF4-957CB4D9BFCE}"/>
    <cellStyle name="출력" xfId="22" builtinId="21" customBuiltin="1"/>
    <cellStyle name="표준" xfId="0" builtinId="0"/>
    <cellStyle name="표준 2" xfId="1" xr:uid="{B6A80303-35FA-6E4B-8CE2-BA96355F25C0}"/>
    <cellStyle name="표준 3" xfId="3" xr:uid="{44934062-158E-414C-8DC9-C676748D9303}"/>
    <cellStyle name="표준 3 2" xfId="77" xr:uid="{60BB7121-3EFB-4578-AA27-51D1A4D7F4B7}"/>
    <cellStyle name="표준 4" xfId="4" xr:uid="{CBA893F5-ADA3-414E-A0D0-9A2E41217980}"/>
    <cellStyle name="표준 5" xfId="53" xr:uid="{00000000-0005-0000-0000-00003F000000}"/>
    <cellStyle name="표준 6" xfId="57" xr:uid="{569A0198-8EB0-49F0-A4C3-168E19C00B3E}"/>
    <cellStyle name="하이퍼링크" xfId="56" builtinId="8"/>
    <cellStyle name="하이퍼링크 2" xfId="2" xr:uid="{7D074D78-0986-4F41-9C22-347EA9161A63}"/>
  </cellStyles>
  <dxfs count="38">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xr9:uid="{00000000-0011-0000-FFFF-FFFF00000000}">
      <tableStyleElement type="wholeTable" dxfId="37"/>
      <tableStyleElement type="headerRow" dxfId="36"/>
      <tableStyleElement type="totalRow" dxfId="35"/>
      <tableStyleElement type="firstColumn" dxfId="34"/>
      <tableStyleElement type="lastColumn" dxfId="33"/>
      <tableStyleElement type="firstRowStripe" dxfId="32"/>
      <tableStyleElement type="firstColumnStripe" dxfId="31"/>
    </tableStyle>
    <tableStyle name="Light Style 1 - Accent 1" table="0" count="7" xr9:uid="{00000000-0011-0000-FFFF-FFFF01000000}">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s>
  <colors>
    <mruColors>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100\OfficeDocs\192.168.10.100\OfficeDocs\2024&#45380;%20&#48708;&#51260;&#50500;&#51060;&#54000;%20&#50629;&#47924;\2024&#45380;%20&#51652;&#54665;&#49324;&#50629;\&#46020;&#49436;&#44288;&#49324;&#50629;\&#50976;&#51648;&#48372;&#49688;\&#50976;&#51648;&#48372;&#49688;&#54788;&#54889;(25&#45380;%20&#45804;&#47141;%20&#51201;&#50857;&#4837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COM_처리리스트"/>
      <sheetName val="NICOM_유지보수_통계"/>
      <sheetName val="NICOM_유지보수현황"/>
      <sheetName val="AS"/>
      <sheetName val="충남교육청_KLAS"/>
      <sheetName val="VISIONIT_MaintenanceList"/>
      <sheetName val="24년원콜지원센터통합"/>
      <sheetName val="2025예산"/>
      <sheetName val="Sheet1"/>
      <sheetName val="1월"/>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K2">
            <v>2025</v>
          </cell>
        </row>
        <row r="3">
          <cell r="K3" t="str">
            <v>일요일</v>
          </cell>
        </row>
      </sheetData>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DaonZini" id="{F248D55F-96D9-1B4A-A884-ED069B6E2D73}" userId="DaonZini" providerId="Non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4-01-14T23:27:03.99" personId="{F248D55F-96D9-1B4A-A884-ED069B6E2D73}" id="{38B3ADAF-E2DA-4740-A65E-B87D7EEE3C2F}">
    <text>년도월일-일련번호</text>
  </threadedComment>
</ThreadedComments>
</file>

<file path=xl/threadedComments/threadedComment2.xml><?xml version="1.0" encoding="utf-8"?>
<ThreadedComments xmlns="http://schemas.microsoft.com/office/spreadsheetml/2018/threadedcomments" xmlns:x="http://schemas.openxmlformats.org/spreadsheetml/2006/main">
  <threadedComment ref="L2" dT="2024-01-14T23:23:14.25" personId="{F248D55F-96D9-1B4A-A884-ED069B6E2D73}" id="{1BF2E561-E06A-F14A-971E-7D5437F47E21}">
    <text>월/격월/분기/반기/Call</text>
  </threadedComment>
</ThreadedComments>
</file>

<file path=xl/threadedComments/threadedComment3.xml><?xml version="1.0" encoding="utf-8"?>
<ThreadedComments xmlns="http://schemas.microsoft.com/office/spreadsheetml/2018/threadedcomments" xmlns:x="http://schemas.openxmlformats.org/spreadsheetml/2006/main">
  <threadedComment ref="K2" dT="2024-01-14T23:23:14.25" personId="{F248D55F-96D9-1B4A-A884-ED069B6E2D73}" id="{1BF2E561-E06A-F14B-971E-7D5437F47E21}">
    <text>월/격월/분기/반기/Call</text>
  </threadedComment>
</ThreadedComments>
</file>

<file path=xl/threadedComments/threadedComment4.xml><?xml version="1.0" encoding="utf-8"?>
<ThreadedComments xmlns="http://schemas.microsoft.com/office/spreadsheetml/2018/threadedcomments" xmlns:x="http://schemas.openxmlformats.org/spreadsheetml/2006/main">
  <threadedComment ref="K2" dT="2024-01-14T23:23:14.25" personId="{F248D55F-96D9-1B4A-A884-ED069B6E2D73}" id="{1BF2E561-E06A-F14C-971E-7D5437F47E21}">
    <text>월/격월/분기/반기/Call</text>
  </threadedComment>
</ThreadedComments>
</file>

<file path=xl/threadedComments/threadedComment5.xml><?xml version="1.0" encoding="utf-8"?>
<ThreadedComments xmlns="http://schemas.microsoft.com/office/spreadsheetml/2018/threadedcomments" xmlns:x="http://schemas.openxmlformats.org/spreadsheetml/2006/main">
  <threadedComment ref="M2" dT="2024-01-14T23:23:14.25" personId="{F248D55F-96D9-1B4A-A884-ED069B6E2D73}" id="{7779CBAB-4096-7E42-8B80-3EC7407D7E8A}">
    <text>월/격월/분기/반기/Call</text>
  </threadedComment>
  <threadedComment ref="N2" dT="2024-01-22T00:22:30.28" personId="{F248D55F-96D9-1B4A-A884-ED069B6E2D73}" id="{9296F8EA-E47A-E24E-8125-3CD2F504F8B2}">
    <text>유상/무상/미계약/미사용/철수</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mailto:genesis13@korea.kr"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8" Type="http://schemas.openxmlformats.org/officeDocument/2006/relationships/hyperlink" Target="mailto:pyh6643@cne.go.kr" TargetMode="External"/><Relationship Id="rId13" Type="http://schemas.openxmlformats.org/officeDocument/2006/relationships/hyperlink" Target="mailto:yo2n32@korea.kr" TargetMode="External"/><Relationship Id="rId18" Type="http://schemas.openxmlformats.org/officeDocument/2006/relationships/hyperlink" Target="mailto:as-lib@cne.go.kr" TargetMode="External"/><Relationship Id="rId3" Type="http://schemas.openxmlformats.org/officeDocument/2006/relationships/hyperlink" Target="mailto:ljw990531@korea.kr" TargetMode="External"/><Relationship Id="rId21" Type="http://schemas.openxmlformats.org/officeDocument/2006/relationships/vmlDrawing" Target="../drawings/vmlDrawing3.vml"/><Relationship Id="rId7" Type="http://schemas.openxmlformats.org/officeDocument/2006/relationships/hyperlink" Target="mailto:uc-lib@cne.go.kr" TargetMode="External"/><Relationship Id="rId12" Type="http://schemas.openxmlformats.org/officeDocument/2006/relationships/hyperlink" Target="mailto:evemstar@cne.go.kr" TargetMode="External"/><Relationship Id="rId17" Type="http://schemas.openxmlformats.org/officeDocument/2006/relationships/hyperlink" Target="mailto:pr-lib@cne.go.kr" TargetMode="External"/><Relationship Id="rId2" Type="http://schemas.openxmlformats.org/officeDocument/2006/relationships/hyperlink" Target="mailto:lis1010@cne.go.kr" TargetMode="External"/><Relationship Id="rId16" Type="http://schemas.openxmlformats.org/officeDocument/2006/relationships/hyperlink" Target="mailto:jhr0822@korea.kr" TargetMode="External"/><Relationship Id="rId20" Type="http://schemas.openxmlformats.org/officeDocument/2006/relationships/printerSettings" Target="../printerSettings/printerSettings5.bin"/><Relationship Id="rId1" Type="http://schemas.openxmlformats.org/officeDocument/2006/relationships/hyperlink" Target="mailto:kwonjieun@cne.go.kr" TargetMode="External"/><Relationship Id="rId6" Type="http://schemas.openxmlformats.org/officeDocument/2006/relationships/hyperlink" Target="mailto:sh0324@korea.kr" TargetMode="External"/><Relationship Id="rId11" Type="http://schemas.openxmlformats.org/officeDocument/2006/relationships/hyperlink" Target="mailto:jin3015@korea" TargetMode="External"/><Relationship Id="rId5" Type="http://schemas.openxmlformats.org/officeDocument/2006/relationships/hyperlink" Target="mailto:kj-lib@cne.go.kr" TargetMode="External"/><Relationship Id="rId15" Type="http://schemas.openxmlformats.org/officeDocument/2006/relationships/hyperlink" Target="mailto:sde0421@korea.kr" TargetMode="External"/><Relationship Id="rId23" Type="http://schemas.microsoft.com/office/2017/10/relationships/threadedComment" Target="../threadedComments/threadedComment3.xml"/><Relationship Id="rId10" Type="http://schemas.openxmlformats.org/officeDocument/2006/relationships/hyperlink" Target="mailto:jha21@korea.kr" TargetMode="External"/><Relationship Id="rId19" Type="http://schemas.openxmlformats.org/officeDocument/2006/relationships/hyperlink" Target="mailto:green7723@korea.kr" TargetMode="External"/><Relationship Id="rId4" Type="http://schemas.openxmlformats.org/officeDocument/2006/relationships/hyperlink" Target="mailto:daisy2521@cne.go.kr" TargetMode="External"/><Relationship Id="rId9" Type="http://schemas.openxmlformats.org/officeDocument/2006/relationships/hyperlink" Target="mailto:sseonmin@korea.kr" TargetMode="External"/><Relationship Id="rId14" Type="http://schemas.openxmlformats.org/officeDocument/2006/relationships/hyperlink" Target="mailto:j080313@korea.kr" TargetMode="External"/><Relationship Id="rId22" Type="http://schemas.openxmlformats.org/officeDocument/2006/relationships/comments" Target="../comments3.xml"/></Relationships>
</file>

<file path=xl/worksheets/_rels/sheet9.xml.rels><?xml version="1.0" encoding="UTF-8" standalone="yes"?>
<Relationships xmlns="http://schemas.openxmlformats.org/package/2006/relationships"><Relationship Id="rId8" Type="http://schemas.openxmlformats.org/officeDocument/2006/relationships/hyperlink" Target="mailto:totorl99@korea.kr" TargetMode="External"/><Relationship Id="rId13" Type="http://schemas.openxmlformats.org/officeDocument/2006/relationships/hyperlink" Target="mailto:ventasllo@navr.com" TargetMode="External"/><Relationship Id="rId18" Type="http://schemas.openxmlformats.org/officeDocument/2006/relationships/hyperlink" Target="mailto:mint6876@naver.com" TargetMode="External"/><Relationship Id="rId26" Type="http://schemas.openxmlformats.org/officeDocument/2006/relationships/vmlDrawing" Target="../drawings/vmlDrawing4.vml"/><Relationship Id="rId3" Type="http://schemas.openxmlformats.org/officeDocument/2006/relationships/hyperlink" Target="mailto:nocy0613@korea.kr" TargetMode="External"/><Relationship Id="rId21" Type="http://schemas.openxmlformats.org/officeDocument/2006/relationships/hyperlink" Target="mailto:khshahaha@daum.net" TargetMode="External"/><Relationship Id="rId7" Type="http://schemas.openxmlformats.org/officeDocument/2006/relationships/hyperlink" Target="mailto:lisgcy09@korea.kr" TargetMode="External"/><Relationship Id="rId12" Type="http://schemas.openxmlformats.org/officeDocument/2006/relationships/hyperlink" Target="mailto:emailibox@naver.com" TargetMode="External"/><Relationship Id="rId17" Type="http://schemas.openxmlformats.org/officeDocument/2006/relationships/hyperlink" Target="mailto:lovejs1004@hanmail.net" TargetMode="External"/><Relationship Id="rId25" Type="http://schemas.openxmlformats.org/officeDocument/2006/relationships/printerSettings" Target="../printerSettings/printerSettings6.bin"/><Relationship Id="rId2" Type="http://schemas.openxmlformats.org/officeDocument/2006/relationships/hyperlink" Target="mailto:choiyl9n@korea.kr" TargetMode="External"/><Relationship Id="rId16" Type="http://schemas.openxmlformats.org/officeDocument/2006/relationships/hyperlink" Target="mailto:wlgml6936@naver.com" TargetMode="External"/><Relationship Id="rId20" Type="http://schemas.openxmlformats.org/officeDocument/2006/relationships/hyperlink" Target="mailto:ms7126@naver.com" TargetMode="External"/><Relationship Id="rId1" Type="http://schemas.openxmlformats.org/officeDocument/2006/relationships/hyperlink" Target="mailto:sguirre12@korea.kr" TargetMode="External"/><Relationship Id="rId6" Type="http://schemas.openxmlformats.org/officeDocument/2006/relationships/hyperlink" Target="mailto:hjw8272@korea.kr" TargetMode="External"/><Relationship Id="rId11" Type="http://schemas.openxmlformats.org/officeDocument/2006/relationships/hyperlink" Target="mailto:helloyul@korea.kr" TargetMode="External"/><Relationship Id="rId24" Type="http://schemas.openxmlformats.org/officeDocument/2006/relationships/hyperlink" Target="mailto:wowo15181@korea.kr" TargetMode="External"/><Relationship Id="rId5" Type="http://schemas.openxmlformats.org/officeDocument/2006/relationships/hyperlink" Target="mailto:yohannes@korea.kr" TargetMode="External"/><Relationship Id="rId15" Type="http://schemas.openxmlformats.org/officeDocument/2006/relationships/hyperlink" Target="mailto:pma85@naver.com" TargetMode="External"/><Relationship Id="rId23" Type="http://schemas.openxmlformats.org/officeDocument/2006/relationships/hyperlink" Target="mailto:ko324@korea.kr" TargetMode="External"/><Relationship Id="rId28" Type="http://schemas.microsoft.com/office/2017/10/relationships/threadedComment" Target="../threadedComments/threadedComment4.xml"/><Relationship Id="rId10" Type="http://schemas.openxmlformats.org/officeDocument/2006/relationships/hyperlink" Target="mailto:dlsh3784@korea.kr" TargetMode="External"/><Relationship Id="rId19" Type="http://schemas.openxmlformats.org/officeDocument/2006/relationships/hyperlink" Target="mailto:mjyang12@korea.kr" TargetMode="External"/><Relationship Id="rId4" Type="http://schemas.openxmlformats.org/officeDocument/2006/relationships/hyperlink" Target="mailto:pressman@korea.kr" TargetMode="External"/><Relationship Id="rId9" Type="http://schemas.openxmlformats.org/officeDocument/2006/relationships/hyperlink" Target="mailto:libbotero60@korea.kr" TargetMode="External"/><Relationship Id="rId14" Type="http://schemas.openxmlformats.org/officeDocument/2006/relationships/hyperlink" Target="mailto:xoxolibrarian@naver.com" TargetMode="External"/><Relationship Id="rId22" Type="http://schemas.openxmlformats.org/officeDocument/2006/relationships/hyperlink" Target="mailto:hskim_0424@naver.com" TargetMode="External"/><Relationship Id="rId27"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is1010@cne.go.kr" TargetMode="External"/><Relationship Id="rId13" Type="http://schemas.openxmlformats.org/officeDocument/2006/relationships/hyperlink" Target="mailto:5joohn@cne.go.kr" TargetMode="External"/><Relationship Id="rId18" Type="http://schemas.openxmlformats.org/officeDocument/2006/relationships/hyperlink" Target="mailto:ch5110@korea.kr" TargetMode="External"/><Relationship Id="rId3" Type="http://schemas.openxmlformats.org/officeDocument/2006/relationships/hyperlink" Target="mailto:sbh1835@korea.kr" TargetMode="External"/><Relationship Id="rId21" Type="http://schemas.openxmlformats.org/officeDocument/2006/relationships/printerSettings" Target="../printerSettings/printerSettings7.bin"/><Relationship Id="rId7" Type="http://schemas.openxmlformats.org/officeDocument/2006/relationships/hyperlink" Target="mailto:sh0324@korea.kr" TargetMode="External"/><Relationship Id="rId12" Type="http://schemas.openxmlformats.org/officeDocument/2006/relationships/hyperlink" Target="mailto:sseonmin@korea.kr" TargetMode="External"/><Relationship Id="rId17" Type="http://schemas.openxmlformats.org/officeDocument/2006/relationships/hyperlink" Target="mailto:pyh6643@cne.go.kr" TargetMode="External"/><Relationship Id="rId2" Type="http://schemas.openxmlformats.org/officeDocument/2006/relationships/hyperlink" Target="mailto:dd3113@korea.kr" TargetMode="External"/><Relationship Id="rId16" Type="http://schemas.openxmlformats.org/officeDocument/2006/relationships/hyperlink" Target="mailto:j080313@korea.kr" TargetMode="External"/><Relationship Id="rId20" Type="http://schemas.openxmlformats.org/officeDocument/2006/relationships/hyperlink" Target="mailto:darkann@naver.com" TargetMode="External"/><Relationship Id="rId1" Type="http://schemas.openxmlformats.org/officeDocument/2006/relationships/hyperlink" Target="mailto:kwonjieun@cne.go.kr" TargetMode="External"/><Relationship Id="rId6" Type="http://schemas.openxmlformats.org/officeDocument/2006/relationships/hyperlink" Target="mailto:kj-lib@cne.go.kr" TargetMode="External"/><Relationship Id="rId11" Type="http://schemas.openxmlformats.org/officeDocument/2006/relationships/hyperlink" Target="mailto:skyblueida@cne.go.kr" TargetMode="External"/><Relationship Id="rId24" Type="http://schemas.microsoft.com/office/2017/10/relationships/threadedComment" Target="../threadedComments/threadedComment5.xml"/><Relationship Id="rId5" Type="http://schemas.openxmlformats.org/officeDocument/2006/relationships/hyperlink" Target="mailto:seokyung13@cne.go.kr" TargetMode="External"/><Relationship Id="rId15" Type="http://schemas.openxmlformats.org/officeDocument/2006/relationships/hyperlink" Target="mailto:narae64@korea.kr" TargetMode="External"/><Relationship Id="rId23" Type="http://schemas.openxmlformats.org/officeDocument/2006/relationships/comments" Target="../comments5.xml"/><Relationship Id="rId10" Type="http://schemas.openxmlformats.org/officeDocument/2006/relationships/hyperlink" Target="mailto:khy0242@cne.go.kr" TargetMode="External"/><Relationship Id="rId19" Type="http://schemas.openxmlformats.org/officeDocument/2006/relationships/hyperlink" Target="mailto:jin3015@korea" TargetMode="External"/><Relationship Id="rId4" Type="http://schemas.openxmlformats.org/officeDocument/2006/relationships/hyperlink" Target="mailto:ljw990531@korea.kr" TargetMode="External"/><Relationship Id="rId9" Type="http://schemas.openxmlformats.org/officeDocument/2006/relationships/hyperlink" Target="mailto:uc-lib@cne.go.kr" TargetMode="External"/><Relationship Id="rId14" Type="http://schemas.openxmlformats.org/officeDocument/2006/relationships/hyperlink" Target="mailto:evemstar@cne.go.kr" TargetMode="External"/><Relationship Id="rId22"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555"/>
  <sheetViews>
    <sheetView topLeftCell="A241" zoomScaleNormal="100" zoomScaleSheetLayoutView="75" workbookViewId="0">
      <selection activeCell="H248" sqref="H248"/>
    </sheetView>
  </sheetViews>
  <sheetFormatPr defaultColWidth="8.5" defaultRowHeight="16.5"/>
  <cols>
    <col min="1" max="1" width="4.375" customWidth="1"/>
    <col min="2" max="2" width="9.5" bestFit="1" customWidth="1"/>
    <col min="3" max="3" width="20.125" bestFit="1" customWidth="1"/>
    <col min="4" max="4" width="7.625" customWidth="1"/>
    <col min="5" max="5" width="16.625" bestFit="1" customWidth="1"/>
    <col min="6" max="6" width="26" bestFit="1" customWidth="1"/>
    <col min="7" max="7" width="11" bestFit="1" customWidth="1"/>
    <col min="8" max="8" width="31.375" customWidth="1"/>
    <col min="9" max="9" width="51.625" customWidth="1"/>
    <col min="10" max="10" width="14.5" customWidth="1"/>
    <col min="11" max="11" width="10.5" bestFit="1" customWidth="1"/>
  </cols>
  <sheetData>
    <row r="1" spans="1:11">
      <c r="A1" s="16" t="s">
        <v>0</v>
      </c>
      <c r="B1" s="16" t="s">
        <v>1</v>
      </c>
      <c r="C1" s="16" t="s">
        <v>2</v>
      </c>
      <c r="D1" s="16" t="s">
        <v>3</v>
      </c>
      <c r="E1" s="16" t="s">
        <v>4</v>
      </c>
      <c r="F1" s="16" t="s">
        <v>5</v>
      </c>
      <c r="G1" s="16" t="s">
        <v>6</v>
      </c>
      <c r="H1" s="16" t="s">
        <v>7</v>
      </c>
      <c r="I1" s="16" t="s">
        <v>8</v>
      </c>
      <c r="J1" s="17" t="s">
        <v>9</v>
      </c>
      <c r="K1" s="106" t="s">
        <v>2448</v>
      </c>
    </row>
    <row r="2" spans="1:11" ht="81">
      <c r="A2" s="16">
        <v>545</v>
      </c>
      <c r="B2" s="136">
        <v>45628</v>
      </c>
      <c r="C2" s="12" t="s">
        <v>10</v>
      </c>
      <c r="D2" s="12" t="s">
        <v>11</v>
      </c>
      <c r="E2" s="12" t="s">
        <v>12</v>
      </c>
      <c r="F2" s="12" t="s">
        <v>13</v>
      </c>
      <c r="G2" s="12" t="s">
        <v>14</v>
      </c>
      <c r="H2" s="13" t="s">
        <v>15</v>
      </c>
      <c r="I2" s="13" t="s">
        <v>16</v>
      </c>
      <c r="J2" s="12" t="s">
        <v>17</v>
      </c>
    </row>
    <row r="3" spans="1:11" ht="27">
      <c r="A3" s="16">
        <v>546</v>
      </c>
      <c r="B3" s="136">
        <v>45628</v>
      </c>
      <c r="C3" s="12" t="s">
        <v>18</v>
      </c>
      <c r="D3" s="12" t="s">
        <v>19</v>
      </c>
      <c r="E3" s="12" t="s">
        <v>20</v>
      </c>
      <c r="F3" s="12" t="s">
        <v>13</v>
      </c>
      <c r="G3" s="12" t="s">
        <v>14</v>
      </c>
      <c r="H3" s="13" t="s">
        <v>21</v>
      </c>
      <c r="I3" s="13" t="s">
        <v>22</v>
      </c>
      <c r="J3" s="12" t="s">
        <v>17</v>
      </c>
    </row>
    <row r="4" spans="1:11" ht="27">
      <c r="A4" s="16">
        <v>547</v>
      </c>
      <c r="B4" s="136">
        <v>45628</v>
      </c>
      <c r="C4" s="12" t="s">
        <v>23</v>
      </c>
      <c r="D4" s="12" t="s">
        <v>24</v>
      </c>
      <c r="E4" s="12" t="s">
        <v>25</v>
      </c>
      <c r="F4" s="12" t="s">
        <v>26</v>
      </c>
      <c r="G4" s="12" t="s">
        <v>14</v>
      </c>
      <c r="H4" s="13" t="s">
        <v>15</v>
      </c>
      <c r="I4" s="13" t="s">
        <v>27</v>
      </c>
      <c r="J4" s="12" t="s">
        <v>17</v>
      </c>
    </row>
    <row r="5" spans="1:11" ht="67.5">
      <c r="A5" s="16">
        <v>548</v>
      </c>
      <c r="B5" s="136">
        <v>45628</v>
      </c>
      <c r="C5" s="12" t="s">
        <v>28</v>
      </c>
      <c r="D5" s="12" t="s">
        <v>29</v>
      </c>
      <c r="E5" s="12" t="s">
        <v>30</v>
      </c>
      <c r="F5" s="12" t="s">
        <v>31</v>
      </c>
      <c r="G5" s="12" t="s">
        <v>14</v>
      </c>
      <c r="H5" s="13" t="s">
        <v>15</v>
      </c>
      <c r="I5" s="13" t="s">
        <v>32</v>
      </c>
      <c r="J5" s="12" t="s">
        <v>17</v>
      </c>
    </row>
    <row r="6" spans="1:11" ht="27">
      <c r="A6" s="16">
        <v>549</v>
      </c>
      <c r="B6" s="136">
        <v>45628</v>
      </c>
      <c r="C6" s="12" t="s">
        <v>33</v>
      </c>
      <c r="D6" s="12" t="s">
        <v>34</v>
      </c>
      <c r="E6" s="12" t="s">
        <v>30</v>
      </c>
      <c r="F6" s="12" t="s">
        <v>31</v>
      </c>
      <c r="G6" s="12" t="s">
        <v>14</v>
      </c>
      <c r="H6" s="13" t="s">
        <v>15</v>
      </c>
      <c r="I6" s="13" t="s">
        <v>27</v>
      </c>
      <c r="J6" s="12" t="s">
        <v>17</v>
      </c>
    </row>
    <row r="7" spans="1:11" ht="27">
      <c r="A7" s="16">
        <v>550</v>
      </c>
      <c r="B7" s="136">
        <v>45628</v>
      </c>
      <c r="C7" s="12" t="s">
        <v>35</v>
      </c>
      <c r="D7" s="12" t="s">
        <v>36</v>
      </c>
      <c r="E7" s="12" t="s">
        <v>30</v>
      </c>
      <c r="F7" s="12" t="s">
        <v>31</v>
      </c>
      <c r="G7" s="12" t="s">
        <v>14</v>
      </c>
      <c r="H7" s="13" t="s">
        <v>15</v>
      </c>
      <c r="I7" s="13" t="s">
        <v>27</v>
      </c>
      <c r="J7" s="12" t="s">
        <v>17</v>
      </c>
    </row>
    <row r="8" spans="1:11" ht="108">
      <c r="A8" s="16">
        <v>551</v>
      </c>
      <c r="B8" s="136">
        <v>45628</v>
      </c>
      <c r="C8" s="12" t="s">
        <v>37</v>
      </c>
      <c r="D8" s="12" t="s">
        <v>38</v>
      </c>
      <c r="E8" s="12" t="s">
        <v>39</v>
      </c>
      <c r="F8" s="12" t="s">
        <v>40</v>
      </c>
      <c r="G8" s="12" t="s">
        <v>14</v>
      </c>
      <c r="H8" s="13" t="s">
        <v>41</v>
      </c>
      <c r="I8" s="13" t="s">
        <v>42</v>
      </c>
      <c r="J8" s="18" t="s">
        <v>17</v>
      </c>
    </row>
    <row r="9" spans="1:11" ht="40.5">
      <c r="A9" s="16">
        <v>552</v>
      </c>
      <c r="B9" s="136">
        <v>45629</v>
      </c>
      <c r="C9" s="12" t="s">
        <v>43</v>
      </c>
      <c r="D9" s="12" t="s">
        <v>44</v>
      </c>
      <c r="E9" s="12" t="s">
        <v>45</v>
      </c>
      <c r="F9" s="12" t="s">
        <v>46</v>
      </c>
      <c r="G9" s="12" t="s">
        <v>14</v>
      </c>
      <c r="H9" s="13" t="s">
        <v>47</v>
      </c>
      <c r="I9" s="13" t="s">
        <v>48</v>
      </c>
      <c r="J9" s="18" t="s">
        <v>17</v>
      </c>
    </row>
    <row r="10" spans="1:11" ht="94.5">
      <c r="A10" s="16">
        <v>553</v>
      </c>
      <c r="B10" s="136">
        <v>45630</v>
      </c>
      <c r="C10" s="12" t="s">
        <v>49</v>
      </c>
      <c r="D10" s="12" t="s">
        <v>50</v>
      </c>
      <c r="E10" s="12" t="s">
        <v>51</v>
      </c>
      <c r="F10" s="12" t="s">
        <v>52</v>
      </c>
      <c r="G10" s="12" t="s">
        <v>53</v>
      </c>
      <c r="H10" s="13" t="s">
        <v>54</v>
      </c>
      <c r="I10" s="13" t="s">
        <v>55</v>
      </c>
      <c r="J10" s="18" t="s">
        <v>17</v>
      </c>
    </row>
    <row r="11" spans="1:11" ht="27">
      <c r="A11" s="16">
        <v>554</v>
      </c>
      <c r="B11" s="136">
        <v>45631</v>
      </c>
      <c r="C11" s="12" t="s">
        <v>56</v>
      </c>
      <c r="D11" s="12" t="s">
        <v>57</v>
      </c>
      <c r="E11" s="12" t="s">
        <v>58</v>
      </c>
      <c r="F11" s="12" t="s">
        <v>59</v>
      </c>
      <c r="G11" s="12" t="s">
        <v>14</v>
      </c>
      <c r="H11" s="13" t="s">
        <v>60</v>
      </c>
      <c r="I11" s="13" t="s">
        <v>27</v>
      </c>
      <c r="J11" s="12" t="s">
        <v>17</v>
      </c>
    </row>
    <row r="12" spans="1:11" ht="94.5">
      <c r="A12" s="16">
        <v>555</v>
      </c>
      <c r="B12" s="136">
        <v>45631</v>
      </c>
      <c r="C12" s="12" t="s">
        <v>61</v>
      </c>
      <c r="D12" s="12" t="s">
        <v>62</v>
      </c>
      <c r="E12" s="12" t="s">
        <v>30</v>
      </c>
      <c r="F12" s="12" t="s">
        <v>31</v>
      </c>
      <c r="G12" s="12" t="s">
        <v>14</v>
      </c>
      <c r="H12" s="13" t="s">
        <v>60</v>
      </c>
      <c r="I12" s="13" t="s">
        <v>63</v>
      </c>
      <c r="J12" s="12" t="s">
        <v>17</v>
      </c>
    </row>
    <row r="13" spans="1:11" ht="108">
      <c r="A13" s="16">
        <v>556</v>
      </c>
      <c r="B13" s="136">
        <v>45631</v>
      </c>
      <c r="C13" s="12" t="s">
        <v>64</v>
      </c>
      <c r="D13" s="12" t="s">
        <v>65</v>
      </c>
      <c r="E13" s="12" t="s">
        <v>66</v>
      </c>
      <c r="F13" s="12" t="s">
        <v>26</v>
      </c>
      <c r="G13" s="12" t="s">
        <v>53</v>
      </c>
      <c r="H13" s="13" t="s">
        <v>67</v>
      </c>
      <c r="I13" s="13" t="s">
        <v>68</v>
      </c>
      <c r="J13" s="18" t="s">
        <v>17</v>
      </c>
    </row>
    <row r="14" spans="1:11" ht="67.5">
      <c r="A14" s="16">
        <v>557</v>
      </c>
      <c r="B14" s="136">
        <v>45631</v>
      </c>
      <c r="C14" s="12" t="s">
        <v>69</v>
      </c>
      <c r="D14" s="12" t="s">
        <v>70</v>
      </c>
      <c r="E14" s="12" t="s">
        <v>71</v>
      </c>
      <c r="F14" s="12" t="s">
        <v>13</v>
      </c>
      <c r="G14" s="12" t="s">
        <v>72</v>
      </c>
      <c r="H14" s="13" t="s">
        <v>73</v>
      </c>
      <c r="I14" s="13" t="s">
        <v>74</v>
      </c>
      <c r="J14" s="12" t="s">
        <v>17</v>
      </c>
    </row>
    <row r="15" spans="1:11" ht="54">
      <c r="A15" s="16">
        <v>558</v>
      </c>
      <c r="B15" s="136">
        <v>45632</v>
      </c>
      <c r="C15" s="12" t="s">
        <v>75</v>
      </c>
      <c r="D15" s="12" t="s">
        <v>76</v>
      </c>
      <c r="E15" s="12" t="s">
        <v>30</v>
      </c>
      <c r="F15" s="12" t="s">
        <v>31</v>
      </c>
      <c r="G15" s="12" t="s">
        <v>14</v>
      </c>
      <c r="H15" s="13" t="s">
        <v>77</v>
      </c>
      <c r="I15" s="13" t="s">
        <v>78</v>
      </c>
      <c r="J15" s="12" t="s">
        <v>17</v>
      </c>
    </row>
    <row r="16" spans="1:11" ht="27">
      <c r="A16" s="16">
        <v>559</v>
      </c>
      <c r="B16" s="136">
        <v>45636</v>
      </c>
      <c r="C16" s="12" t="s">
        <v>79</v>
      </c>
      <c r="D16" s="12" t="s">
        <v>80</v>
      </c>
      <c r="E16" s="12" t="s">
        <v>81</v>
      </c>
      <c r="F16" s="12" t="s">
        <v>13</v>
      </c>
      <c r="G16" s="12" t="s">
        <v>14</v>
      </c>
      <c r="H16" s="13" t="s">
        <v>77</v>
      </c>
      <c r="I16" s="13" t="s">
        <v>27</v>
      </c>
      <c r="J16" s="12" t="s">
        <v>17</v>
      </c>
    </row>
    <row r="17" spans="1:10" ht="27">
      <c r="A17" s="16">
        <v>560</v>
      </c>
      <c r="B17" s="136">
        <v>45636</v>
      </c>
      <c r="C17" s="12" t="s">
        <v>82</v>
      </c>
      <c r="D17" s="12" t="s">
        <v>83</v>
      </c>
      <c r="E17" s="12" t="s">
        <v>58</v>
      </c>
      <c r="F17" s="12" t="s">
        <v>26</v>
      </c>
      <c r="G17" s="12" t="s">
        <v>14</v>
      </c>
      <c r="H17" s="13" t="s">
        <v>77</v>
      </c>
      <c r="I17" s="13" t="s">
        <v>27</v>
      </c>
      <c r="J17" s="12" t="s">
        <v>17</v>
      </c>
    </row>
    <row r="18" spans="1:10" ht="27">
      <c r="A18" s="16">
        <v>561</v>
      </c>
      <c r="B18" s="136">
        <v>45636</v>
      </c>
      <c r="C18" s="12" t="s">
        <v>84</v>
      </c>
      <c r="D18" s="12" t="s">
        <v>85</v>
      </c>
      <c r="E18" s="12" t="s">
        <v>20</v>
      </c>
      <c r="F18" s="12" t="s">
        <v>86</v>
      </c>
      <c r="G18" s="12" t="s">
        <v>72</v>
      </c>
      <c r="H18" s="13" t="s">
        <v>87</v>
      </c>
      <c r="I18" s="13" t="s">
        <v>88</v>
      </c>
      <c r="J18" s="12" t="s">
        <v>17</v>
      </c>
    </row>
    <row r="19" spans="1:10" ht="27">
      <c r="A19" s="16">
        <v>562</v>
      </c>
      <c r="B19" s="136">
        <v>45636</v>
      </c>
      <c r="C19" s="12" t="s">
        <v>89</v>
      </c>
      <c r="D19" s="12" t="s">
        <v>90</v>
      </c>
      <c r="E19" s="12" t="s">
        <v>12</v>
      </c>
      <c r="F19" s="12" t="s">
        <v>91</v>
      </c>
      <c r="G19" s="12" t="s">
        <v>14</v>
      </c>
      <c r="H19" s="13" t="s">
        <v>77</v>
      </c>
      <c r="I19" s="13" t="s">
        <v>27</v>
      </c>
      <c r="J19" s="12" t="s">
        <v>17</v>
      </c>
    </row>
    <row r="20" spans="1:10" ht="40.5">
      <c r="A20" s="16">
        <v>563</v>
      </c>
      <c r="B20" s="136">
        <v>45637</v>
      </c>
      <c r="C20" s="12" t="s">
        <v>92</v>
      </c>
      <c r="D20" s="12" t="s">
        <v>93</v>
      </c>
      <c r="E20" s="12" t="s">
        <v>94</v>
      </c>
      <c r="F20" s="12" t="s">
        <v>95</v>
      </c>
      <c r="G20" s="12" t="s">
        <v>14</v>
      </c>
      <c r="H20" s="13" t="s">
        <v>77</v>
      </c>
      <c r="I20" s="13" t="s">
        <v>96</v>
      </c>
      <c r="J20" s="12" t="s">
        <v>17</v>
      </c>
    </row>
    <row r="21" spans="1:10" ht="40.5">
      <c r="A21" s="16">
        <v>564</v>
      </c>
      <c r="B21" s="136">
        <v>45637</v>
      </c>
      <c r="C21" s="12" t="s">
        <v>43</v>
      </c>
      <c r="D21" s="12" t="s">
        <v>97</v>
      </c>
      <c r="E21" s="12" t="s">
        <v>45</v>
      </c>
      <c r="F21" s="12" t="s">
        <v>46</v>
      </c>
      <c r="G21" s="12" t="s">
        <v>14</v>
      </c>
      <c r="H21" s="13" t="s">
        <v>77</v>
      </c>
      <c r="I21" s="13" t="s">
        <v>98</v>
      </c>
      <c r="J21" s="12" t="s">
        <v>17</v>
      </c>
    </row>
    <row r="22" spans="1:10" ht="27">
      <c r="A22" s="16">
        <v>565</v>
      </c>
      <c r="B22" s="136">
        <v>45637</v>
      </c>
      <c r="C22" s="12" t="s">
        <v>99</v>
      </c>
      <c r="D22" s="12" t="s">
        <v>97</v>
      </c>
      <c r="E22" s="12" t="s">
        <v>100</v>
      </c>
      <c r="F22" s="12" t="s">
        <v>101</v>
      </c>
      <c r="G22" s="12" t="s">
        <v>14</v>
      </c>
      <c r="H22" s="13" t="s">
        <v>77</v>
      </c>
      <c r="I22" s="13" t="s">
        <v>27</v>
      </c>
      <c r="J22" s="12" t="s">
        <v>17</v>
      </c>
    </row>
    <row r="23" spans="1:10" ht="81">
      <c r="A23" s="16">
        <v>566</v>
      </c>
      <c r="B23" s="136">
        <v>45637</v>
      </c>
      <c r="C23" s="12" t="s">
        <v>102</v>
      </c>
      <c r="D23" s="12" t="s">
        <v>103</v>
      </c>
      <c r="E23" s="12" t="s">
        <v>30</v>
      </c>
      <c r="F23" s="12" t="s">
        <v>31</v>
      </c>
      <c r="G23" s="12" t="s">
        <v>53</v>
      </c>
      <c r="H23" s="13" t="s">
        <v>104</v>
      </c>
      <c r="I23" s="13" t="s">
        <v>105</v>
      </c>
      <c r="J23" s="12" t="s">
        <v>17</v>
      </c>
    </row>
    <row r="24" spans="1:10" ht="297">
      <c r="A24" s="16">
        <v>567</v>
      </c>
      <c r="B24" s="136">
        <v>45637</v>
      </c>
      <c r="C24" s="12" t="s">
        <v>64</v>
      </c>
      <c r="D24" s="12" t="s">
        <v>106</v>
      </c>
      <c r="E24" s="12" t="s">
        <v>30</v>
      </c>
      <c r="F24" s="12" t="s">
        <v>31</v>
      </c>
      <c r="G24" s="12" t="s">
        <v>53</v>
      </c>
      <c r="H24" s="13" t="s">
        <v>107</v>
      </c>
      <c r="I24" s="13" t="s">
        <v>108</v>
      </c>
      <c r="J24" s="18" t="s">
        <v>17</v>
      </c>
    </row>
    <row r="25" spans="1:10" ht="27">
      <c r="A25" s="16">
        <v>568</v>
      </c>
      <c r="B25" s="136">
        <v>45638</v>
      </c>
      <c r="C25" s="12" t="s">
        <v>109</v>
      </c>
      <c r="D25" s="12" t="s">
        <v>110</v>
      </c>
      <c r="E25" s="12" t="s">
        <v>111</v>
      </c>
      <c r="F25" s="12" t="s">
        <v>40</v>
      </c>
      <c r="G25" s="12" t="s">
        <v>14</v>
      </c>
      <c r="H25" s="13" t="s">
        <v>77</v>
      </c>
      <c r="I25" s="13" t="s">
        <v>27</v>
      </c>
      <c r="J25" s="12" t="s">
        <v>17</v>
      </c>
    </row>
    <row r="26" spans="1:10" ht="108">
      <c r="A26" s="16">
        <v>569</v>
      </c>
      <c r="B26" s="136">
        <v>45638</v>
      </c>
      <c r="C26" s="12" t="s">
        <v>37</v>
      </c>
      <c r="D26" s="12" t="s">
        <v>38</v>
      </c>
      <c r="E26" s="12" t="s">
        <v>30</v>
      </c>
      <c r="F26" s="12" t="s">
        <v>31</v>
      </c>
      <c r="G26" s="12" t="s">
        <v>14</v>
      </c>
      <c r="H26" s="13" t="s">
        <v>112</v>
      </c>
      <c r="I26" s="13" t="s">
        <v>113</v>
      </c>
      <c r="J26" s="18" t="s">
        <v>17</v>
      </c>
    </row>
    <row r="27" spans="1:10" ht="148.5">
      <c r="A27" s="16">
        <v>570</v>
      </c>
      <c r="B27" s="136">
        <v>45638</v>
      </c>
      <c r="C27" s="12" t="s">
        <v>114</v>
      </c>
      <c r="D27" s="12" t="s">
        <v>115</v>
      </c>
      <c r="E27" s="12" t="s">
        <v>116</v>
      </c>
      <c r="F27" s="12" t="s">
        <v>116</v>
      </c>
      <c r="G27" s="12" t="s">
        <v>53</v>
      </c>
      <c r="H27" s="13" t="s">
        <v>117</v>
      </c>
      <c r="I27" s="13" t="s">
        <v>118</v>
      </c>
      <c r="J27" s="18" t="s">
        <v>17</v>
      </c>
    </row>
    <row r="28" spans="1:10" ht="40.5">
      <c r="A28" s="16">
        <v>571</v>
      </c>
      <c r="B28" s="136">
        <v>45639</v>
      </c>
      <c r="C28" s="12" t="s">
        <v>119</v>
      </c>
      <c r="D28" s="12" t="s">
        <v>120</v>
      </c>
      <c r="E28" s="12" t="s">
        <v>30</v>
      </c>
      <c r="F28" s="12" t="s">
        <v>31</v>
      </c>
      <c r="G28" s="12" t="s">
        <v>14</v>
      </c>
      <c r="H28" s="13" t="s">
        <v>77</v>
      </c>
      <c r="I28" s="13" t="s">
        <v>121</v>
      </c>
      <c r="J28" s="12" t="s">
        <v>17</v>
      </c>
    </row>
    <row r="29" spans="1:10" ht="27">
      <c r="A29" s="16">
        <v>572</v>
      </c>
      <c r="B29" s="136">
        <v>45639</v>
      </c>
      <c r="C29" s="12" t="s">
        <v>122</v>
      </c>
      <c r="D29" s="12" t="s">
        <v>123</v>
      </c>
      <c r="E29" s="12" t="s">
        <v>30</v>
      </c>
      <c r="F29" s="12" t="s">
        <v>31</v>
      </c>
      <c r="G29" s="12" t="s">
        <v>14</v>
      </c>
      <c r="H29" s="13" t="s">
        <v>77</v>
      </c>
      <c r="I29" s="13" t="s">
        <v>27</v>
      </c>
      <c r="J29" s="12" t="s">
        <v>17</v>
      </c>
    </row>
    <row r="30" spans="1:10" ht="27">
      <c r="A30" s="16">
        <v>573</v>
      </c>
      <c r="B30" s="136">
        <v>45639</v>
      </c>
      <c r="C30" s="12" t="s">
        <v>124</v>
      </c>
      <c r="D30" s="12" t="s">
        <v>125</v>
      </c>
      <c r="E30" s="12" t="s">
        <v>30</v>
      </c>
      <c r="F30" s="12" t="s">
        <v>31</v>
      </c>
      <c r="G30" s="12" t="s">
        <v>14</v>
      </c>
      <c r="H30" s="13" t="s">
        <v>77</v>
      </c>
      <c r="I30" s="13" t="s">
        <v>27</v>
      </c>
      <c r="J30" s="12" t="s">
        <v>17</v>
      </c>
    </row>
    <row r="31" spans="1:10" ht="162">
      <c r="A31" s="16">
        <v>574</v>
      </c>
      <c r="B31" s="136">
        <v>45643</v>
      </c>
      <c r="C31" s="12" t="s">
        <v>64</v>
      </c>
      <c r="D31" s="12" t="s">
        <v>65</v>
      </c>
      <c r="E31" s="12" t="s">
        <v>126</v>
      </c>
      <c r="F31" s="12" t="s">
        <v>26</v>
      </c>
      <c r="G31" s="12" t="s">
        <v>53</v>
      </c>
      <c r="H31" s="13" t="s">
        <v>127</v>
      </c>
      <c r="I31" s="13" t="s">
        <v>128</v>
      </c>
      <c r="J31" s="12" t="s">
        <v>17</v>
      </c>
    </row>
    <row r="32" spans="1:10" ht="40.5">
      <c r="A32" s="16">
        <v>575</v>
      </c>
      <c r="B32" s="136">
        <v>45644</v>
      </c>
      <c r="C32" s="12" t="s">
        <v>129</v>
      </c>
      <c r="D32" s="12" t="s">
        <v>130</v>
      </c>
      <c r="E32" s="12" t="s">
        <v>131</v>
      </c>
      <c r="F32" s="12" t="s">
        <v>13</v>
      </c>
      <c r="G32" s="12" t="s">
        <v>53</v>
      </c>
      <c r="H32" s="13" t="s">
        <v>132</v>
      </c>
      <c r="I32" s="13" t="s">
        <v>133</v>
      </c>
      <c r="J32" s="18" t="s">
        <v>17</v>
      </c>
    </row>
    <row r="33" spans="1:10" ht="27">
      <c r="A33" s="16">
        <v>576</v>
      </c>
      <c r="B33" s="136">
        <v>45644</v>
      </c>
      <c r="C33" s="12" t="s">
        <v>75</v>
      </c>
      <c r="D33" s="12" t="s">
        <v>76</v>
      </c>
      <c r="E33" s="12" t="s">
        <v>134</v>
      </c>
      <c r="F33" s="12" t="s">
        <v>13</v>
      </c>
      <c r="G33" s="12" t="s">
        <v>14</v>
      </c>
      <c r="H33" s="13" t="s">
        <v>135</v>
      </c>
      <c r="I33" s="13" t="s">
        <v>136</v>
      </c>
      <c r="J33" s="12" t="s">
        <v>17</v>
      </c>
    </row>
    <row r="34" spans="1:10" ht="175.5">
      <c r="A34" s="16">
        <v>577</v>
      </c>
      <c r="B34" s="136">
        <v>45644</v>
      </c>
      <c r="C34" s="12" t="s">
        <v>49</v>
      </c>
      <c r="D34" s="12" t="s">
        <v>50</v>
      </c>
      <c r="E34" s="12" t="s">
        <v>30</v>
      </c>
      <c r="F34" s="12" t="s">
        <v>31</v>
      </c>
      <c r="G34" s="12" t="s">
        <v>53</v>
      </c>
      <c r="H34" s="13" t="s">
        <v>137</v>
      </c>
      <c r="I34" s="13" t="s">
        <v>138</v>
      </c>
      <c r="J34" s="18" t="s">
        <v>17</v>
      </c>
    </row>
    <row r="35" spans="1:10" ht="67.5">
      <c r="A35" s="16">
        <v>578</v>
      </c>
      <c r="B35" s="136">
        <v>45644</v>
      </c>
      <c r="C35" s="12" t="s">
        <v>56</v>
      </c>
      <c r="D35" s="12" t="s">
        <v>57</v>
      </c>
      <c r="E35" s="12" t="s">
        <v>58</v>
      </c>
      <c r="F35" s="12" t="s">
        <v>13</v>
      </c>
      <c r="G35" s="12" t="s">
        <v>14</v>
      </c>
      <c r="H35" s="13" t="s">
        <v>139</v>
      </c>
      <c r="I35" s="13" t="s">
        <v>140</v>
      </c>
      <c r="J35" s="18" t="s">
        <v>17</v>
      </c>
    </row>
    <row r="36" spans="1:10" ht="81">
      <c r="A36" s="16">
        <v>579</v>
      </c>
      <c r="B36" s="136">
        <v>45645</v>
      </c>
      <c r="C36" s="12" t="s">
        <v>141</v>
      </c>
      <c r="D36" s="12" t="s">
        <v>115</v>
      </c>
      <c r="E36" s="12" t="s">
        <v>142</v>
      </c>
      <c r="F36" s="12" t="s">
        <v>26</v>
      </c>
      <c r="G36" s="12" t="s">
        <v>53</v>
      </c>
      <c r="H36" s="13" t="s">
        <v>143</v>
      </c>
      <c r="I36" s="13" t="s">
        <v>144</v>
      </c>
      <c r="J36" s="18" t="s">
        <v>17</v>
      </c>
    </row>
    <row r="37" spans="1:10" ht="81">
      <c r="A37" s="16">
        <v>580</v>
      </c>
      <c r="B37" s="136">
        <v>45649</v>
      </c>
      <c r="C37" s="12" t="s">
        <v>18</v>
      </c>
      <c r="D37" s="12" t="s">
        <v>19</v>
      </c>
      <c r="E37" s="12" t="s">
        <v>30</v>
      </c>
      <c r="F37" s="12" t="s">
        <v>31</v>
      </c>
      <c r="G37" s="12" t="s">
        <v>14</v>
      </c>
      <c r="H37" s="13" t="s">
        <v>145</v>
      </c>
      <c r="I37" s="13" t="s">
        <v>146</v>
      </c>
      <c r="J37" s="12" t="s">
        <v>17</v>
      </c>
    </row>
    <row r="38" spans="1:10" ht="54">
      <c r="A38" s="16">
        <v>581</v>
      </c>
      <c r="B38" s="136">
        <v>45649</v>
      </c>
      <c r="C38" s="12" t="s">
        <v>129</v>
      </c>
      <c r="D38" s="12" t="s">
        <v>130</v>
      </c>
      <c r="E38" s="12" t="s">
        <v>131</v>
      </c>
      <c r="F38" s="12" t="s">
        <v>13</v>
      </c>
      <c r="G38" s="12" t="s">
        <v>53</v>
      </c>
      <c r="H38" s="13" t="s">
        <v>147</v>
      </c>
      <c r="I38" s="13" t="s">
        <v>148</v>
      </c>
      <c r="J38" s="12" t="s">
        <v>17</v>
      </c>
    </row>
    <row r="39" spans="1:10" ht="81">
      <c r="A39" s="16">
        <v>582</v>
      </c>
      <c r="B39" s="136">
        <v>45656</v>
      </c>
      <c r="C39" s="12" t="s">
        <v>49</v>
      </c>
      <c r="D39" s="12" t="s">
        <v>50</v>
      </c>
      <c r="E39" s="357" t="s">
        <v>149</v>
      </c>
      <c r="F39" s="12" t="s">
        <v>26</v>
      </c>
      <c r="G39" s="12" t="s">
        <v>53</v>
      </c>
      <c r="H39" s="13" t="s">
        <v>147</v>
      </c>
      <c r="I39" s="13" t="s">
        <v>150</v>
      </c>
      <c r="J39" s="18" t="s">
        <v>17</v>
      </c>
    </row>
    <row r="40" spans="1:10" ht="40.5">
      <c r="A40" s="16">
        <v>583</v>
      </c>
      <c r="B40" s="136">
        <v>45657</v>
      </c>
      <c r="C40" s="12" t="s">
        <v>151</v>
      </c>
      <c r="D40" s="12" t="s">
        <v>152</v>
      </c>
      <c r="E40" s="12" t="s">
        <v>153</v>
      </c>
      <c r="F40" s="12" t="s">
        <v>13</v>
      </c>
      <c r="G40" s="12" t="s">
        <v>53</v>
      </c>
      <c r="H40" s="13" t="s">
        <v>154</v>
      </c>
      <c r="I40" s="13" t="s">
        <v>155</v>
      </c>
      <c r="J40" s="12" t="s">
        <v>17</v>
      </c>
    </row>
    <row r="41" spans="1:10" ht="27">
      <c r="A41" s="16">
        <v>1</v>
      </c>
      <c r="B41" s="136">
        <v>45659</v>
      </c>
      <c r="C41" s="12" t="s">
        <v>23</v>
      </c>
      <c r="D41" s="12" t="s">
        <v>24</v>
      </c>
      <c r="E41" s="12" t="s">
        <v>25</v>
      </c>
      <c r="F41" s="12" t="s">
        <v>26</v>
      </c>
      <c r="G41" s="12" t="s">
        <v>14</v>
      </c>
      <c r="H41" s="13" t="s">
        <v>156</v>
      </c>
      <c r="I41" s="13" t="s">
        <v>27</v>
      </c>
      <c r="J41" s="12" t="s">
        <v>17</v>
      </c>
    </row>
    <row r="42" spans="1:10" ht="27">
      <c r="A42" s="16">
        <v>2</v>
      </c>
      <c r="B42" s="136">
        <v>45659</v>
      </c>
      <c r="C42" s="12" t="s">
        <v>28</v>
      </c>
      <c r="D42" s="12" t="s">
        <v>29</v>
      </c>
      <c r="E42" s="12" t="s">
        <v>30</v>
      </c>
      <c r="F42" s="12" t="s">
        <v>31</v>
      </c>
      <c r="G42" s="12" t="s">
        <v>14</v>
      </c>
      <c r="H42" s="13" t="s">
        <v>156</v>
      </c>
      <c r="I42" s="13" t="s">
        <v>27</v>
      </c>
      <c r="J42" s="12" t="s">
        <v>17</v>
      </c>
    </row>
    <row r="43" spans="1:10" ht="27">
      <c r="A43" s="16">
        <v>3</v>
      </c>
      <c r="B43" s="136">
        <v>45659</v>
      </c>
      <c r="C43" s="12" t="s">
        <v>33</v>
      </c>
      <c r="D43" s="12" t="s">
        <v>34</v>
      </c>
      <c r="E43" s="12" t="s">
        <v>30</v>
      </c>
      <c r="F43" s="12" t="s">
        <v>157</v>
      </c>
      <c r="G43" s="12" t="s">
        <v>14</v>
      </c>
      <c r="H43" s="13" t="s">
        <v>156</v>
      </c>
      <c r="I43" s="13" t="s">
        <v>27</v>
      </c>
      <c r="J43" s="12" t="s">
        <v>17</v>
      </c>
    </row>
    <row r="44" spans="1:10" ht="27">
      <c r="A44" s="16">
        <v>4</v>
      </c>
      <c r="B44" s="136">
        <v>45659</v>
      </c>
      <c r="C44" s="12" t="s">
        <v>35</v>
      </c>
      <c r="D44" s="12" t="s">
        <v>36</v>
      </c>
      <c r="E44" s="12" t="s">
        <v>30</v>
      </c>
      <c r="F44" s="12" t="s">
        <v>158</v>
      </c>
      <c r="G44" s="12" t="s">
        <v>14</v>
      </c>
      <c r="H44" s="13" t="s">
        <v>156</v>
      </c>
      <c r="I44" s="13" t="s">
        <v>27</v>
      </c>
      <c r="J44" s="12" t="s">
        <v>17</v>
      </c>
    </row>
    <row r="45" spans="1:10" ht="27">
      <c r="A45" s="16">
        <v>5</v>
      </c>
      <c r="B45" s="136">
        <v>45659</v>
      </c>
      <c r="C45" s="12" t="s">
        <v>159</v>
      </c>
      <c r="D45" s="12" t="s">
        <v>160</v>
      </c>
      <c r="E45" s="12" t="s">
        <v>30</v>
      </c>
      <c r="F45" s="12" t="s">
        <v>161</v>
      </c>
      <c r="G45" s="12" t="s">
        <v>14</v>
      </c>
      <c r="H45" s="13" t="s">
        <v>156</v>
      </c>
      <c r="I45" s="13" t="s">
        <v>27</v>
      </c>
      <c r="J45" s="12" t="s">
        <v>17</v>
      </c>
    </row>
    <row r="46" spans="1:10" ht="27">
      <c r="A46" s="16">
        <v>6</v>
      </c>
      <c r="B46" s="136">
        <v>45659</v>
      </c>
      <c r="C46" s="12" t="s">
        <v>162</v>
      </c>
      <c r="D46" s="12" t="s">
        <v>163</v>
      </c>
      <c r="E46" s="12" t="s">
        <v>30</v>
      </c>
      <c r="F46" s="12" t="s">
        <v>26</v>
      </c>
      <c r="G46" s="12" t="s">
        <v>14</v>
      </c>
      <c r="H46" s="13" t="s">
        <v>156</v>
      </c>
      <c r="I46" s="13" t="s">
        <v>27</v>
      </c>
      <c r="J46" s="12" t="s">
        <v>17</v>
      </c>
    </row>
    <row r="47" spans="1:10" ht="27">
      <c r="A47" s="16">
        <v>7</v>
      </c>
      <c r="B47" s="136">
        <v>45659</v>
      </c>
      <c r="C47" s="12" t="s">
        <v>164</v>
      </c>
      <c r="D47" s="12" t="s">
        <v>165</v>
      </c>
      <c r="E47" s="12" t="s">
        <v>153</v>
      </c>
      <c r="F47" s="12" t="s">
        <v>26</v>
      </c>
      <c r="G47" s="12" t="s">
        <v>14</v>
      </c>
      <c r="H47" s="13" t="s">
        <v>156</v>
      </c>
      <c r="I47" s="13" t="s">
        <v>27</v>
      </c>
      <c r="J47" s="12" t="s">
        <v>17</v>
      </c>
    </row>
    <row r="48" spans="1:10" ht="40.5">
      <c r="A48" s="16">
        <v>8</v>
      </c>
      <c r="B48" s="136">
        <v>45660</v>
      </c>
      <c r="C48" s="12" t="s">
        <v>114</v>
      </c>
      <c r="D48" s="12" t="s">
        <v>115</v>
      </c>
      <c r="E48" s="12" t="s">
        <v>30</v>
      </c>
      <c r="F48" s="12" t="s">
        <v>26</v>
      </c>
      <c r="G48" s="12" t="s">
        <v>53</v>
      </c>
      <c r="H48" s="13" t="s">
        <v>166</v>
      </c>
      <c r="I48" s="13" t="s">
        <v>167</v>
      </c>
      <c r="J48" s="18" t="s">
        <v>17</v>
      </c>
    </row>
    <row r="49" spans="1:10" ht="54">
      <c r="A49" s="16">
        <v>9</v>
      </c>
      <c r="B49" s="136">
        <v>45660</v>
      </c>
      <c r="C49" s="12" t="s">
        <v>64</v>
      </c>
      <c r="D49" s="12" t="s">
        <v>106</v>
      </c>
      <c r="E49" s="12" t="s">
        <v>168</v>
      </c>
      <c r="F49" s="12" t="s">
        <v>26</v>
      </c>
      <c r="G49" s="12" t="s">
        <v>53</v>
      </c>
      <c r="H49" s="13" t="s">
        <v>169</v>
      </c>
      <c r="I49" s="13" t="s">
        <v>170</v>
      </c>
      <c r="J49" s="12" t="s">
        <v>17</v>
      </c>
    </row>
    <row r="50" spans="1:10" ht="121.5">
      <c r="A50" s="16">
        <v>8</v>
      </c>
      <c r="B50" s="136">
        <v>45663</v>
      </c>
      <c r="C50" s="12" t="s">
        <v>49</v>
      </c>
      <c r="D50" s="12" t="s">
        <v>171</v>
      </c>
      <c r="E50" s="357" t="s">
        <v>149</v>
      </c>
      <c r="F50" s="12" t="s">
        <v>26</v>
      </c>
      <c r="G50" s="12" t="s">
        <v>14</v>
      </c>
      <c r="H50" s="13" t="s">
        <v>172</v>
      </c>
      <c r="I50" s="13" t="s">
        <v>173</v>
      </c>
      <c r="J50" s="12" t="s">
        <v>17</v>
      </c>
    </row>
    <row r="51" spans="1:10" ht="94.5">
      <c r="A51" s="16">
        <v>9</v>
      </c>
      <c r="B51" s="136">
        <v>45664</v>
      </c>
      <c r="C51" s="12" t="s">
        <v>114</v>
      </c>
      <c r="D51" s="12" t="s">
        <v>115</v>
      </c>
      <c r="E51" s="12" t="s">
        <v>30</v>
      </c>
      <c r="F51" s="12" t="s">
        <v>26</v>
      </c>
      <c r="G51" s="12" t="s">
        <v>53</v>
      </c>
      <c r="H51" s="13" t="s">
        <v>174</v>
      </c>
      <c r="I51" s="13" t="s">
        <v>175</v>
      </c>
      <c r="J51" s="12" t="s">
        <v>17</v>
      </c>
    </row>
    <row r="52" spans="1:10" ht="81">
      <c r="A52" s="16">
        <v>10</v>
      </c>
      <c r="B52" s="136">
        <v>45664</v>
      </c>
      <c r="C52" s="12" t="s">
        <v>129</v>
      </c>
      <c r="D52" s="12" t="s">
        <v>130</v>
      </c>
      <c r="E52" s="12" t="s">
        <v>131</v>
      </c>
      <c r="F52" s="12" t="s">
        <v>13</v>
      </c>
      <c r="G52" s="12" t="s">
        <v>53</v>
      </c>
      <c r="H52" s="13" t="s">
        <v>176</v>
      </c>
      <c r="I52" s="13" t="s">
        <v>177</v>
      </c>
      <c r="J52" s="18" t="s">
        <v>17</v>
      </c>
    </row>
    <row r="53" spans="1:10" ht="94.5">
      <c r="A53" s="16">
        <v>11</v>
      </c>
      <c r="B53" s="136">
        <v>45664</v>
      </c>
      <c r="C53" s="12" t="s">
        <v>159</v>
      </c>
      <c r="D53" s="12" t="s">
        <v>160</v>
      </c>
      <c r="E53" s="12" t="s">
        <v>178</v>
      </c>
      <c r="F53" s="12" t="s">
        <v>161</v>
      </c>
      <c r="G53" s="12" t="s">
        <v>14</v>
      </c>
      <c r="H53" s="13" t="s">
        <v>179</v>
      </c>
      <c r="I53" s="13" t="s">
        <v>180</v>
      </c>
      <c r="J53" s="18" t="s">
        <v>17</v>
      </c>
    </row>
    <row r="54" spans="1:10" ht="108">
      <c r="A54" s="16">
        <v>12</v>
      </c>
      <c r="B54" s="136">
        <v>45664</v>
      </c>
      <c r="C54" s="12" t="s">
        <v>64</v>
      </c>
      <c r="D54" s="12" t="s">
        <v>106</v>
      </c>
      <c r="E54" s="12" t="s">
        <v>168</v>
      </c>
      <c r="F54" s="12" t="s">
        <v>26</v>
      </c>
      <c r="G54" s="12" t="s">
        <v>53</v>
      </c>
      <c r="H54" s="13" t="s">
        <v>181</v>
      </c>
      <c r="I54" s="13" t="s">
        <v>182</v>
      </c>
      <c r="J54" s="18" t="s">
        <v>17</v>
      </c>
    </row>
    <row r="55" spans="1:10" ht="67.5">
      <c r="A55" s="16">
        <v>13</v>
      </c>
      <c r="B55" s="136">
        <v>45665</v>
      </c>
      <c r="C55" s="12" t="s">
        <v>10</v>
      </c>
      <c r="D55" s="12" t="s">
        <v>11</v>
      </c>
      <c r="E55" s="12" t="s">
        <v>12</v>
      </c>
      <c r="F55" s="12" t="s">
        <v>13</v>
      </c>
      <c r="G55" s="12" t="s">
        <v>14</v>
      </c>
      <c r="H55" s="13" t="s">
        <v>183</v>
      </c>
      <c r="I55" s="13" t="s">
        <v>184</v>
      </c>
      <c r="J55" s="12" t="s">
        <v>17</v>
      </c>
    </row>
    <row r="56" spans="1:10" ht="27">
      <c r="A56" s="16">
        <v>14</v>
      </c>
      <c r="B56" s="136">
        <v>45665</v>
      </c>
      <c r="C56" s="12" t="s">
        <v>56</v>
      </c>
      <c r="D56" s="12" t="s">
        <v>57</v>
      </c>
      <c r="E56" s="12" t="s">
        <v>58</v>
      </c>
      <c r="F56" s="12" t="s">
        <v>13</v>
      </c>
      <c r="G56" s="12" t="s">
        <v>14</v>
      </c>
      <c r="H56" s="13" t="s">
        <v>183</v>
      </c>
      <c r="I56" s="13" t="s">
        <v>27</v>
      </c>
      <c r="J56" s="12" t="s">
        <v>17</v>
      </c>
    </row>
    <row r="57" spans="1:10" ht="27">
      <c r="A57" s="16">
        <v>15</v>
      </c>
      <c r="B57" s="136">
        <v>45665</v>
      </c>
      <c r="C57" s="12" t="s">
        <v>82</v>
      </c>
      <c r="D57" s="12" t="s">
        <v>83</v>
      </c>
      <c r="E57" s="12" t="s">
        <v>58</v>
      </c>
      <c r="F57" s="12" t="s">
        <v>26</v>
      </c>
      <c r="G57" s="12" t="s">
        <v>14</v>
      </c>
      <c r="H57" s="13" t="s">
        <v>183</v>
      </c>
      <c r="I57" s="13" t="s">
        <v>27</v>
      </c>
      <c r="J57" s="12" t="s">
        <v>17</v>
      </c>
    </row>
    <row r="58" spans="1:10" ht="40.5">
      <c r="A58" s="16">
        <v>16</v>
      </c>
      <c r="B58" s="136">
        <v>45666</v>
      </c>
      <c r="C58" s="12" t="s">
        <v>79</v>
      </c>
      <c r="D58" s="12" t="s">
        <v>80</v>
      </c>
      <c r="E58" s="12" t="s">
        <v>81</v>
      </c>
      <c r="F58" s="12" t="s">
        <v>13</v>
      </c>
      <c r="G58" s="12" t="s">
        <v>14</v>
      </c>
      <c r="H58" s="13" t="s">
        <v>183</v>
      </c>
      <c r="I58" s="13" t="s">
        <v>185</v>
      </c>
      <c r="J58" s="12" t="s">
        <v>17</v>
      </c>
    </row>
    <row r="59" spans="1:10" ht="81">
      <c r="A59" s="16">
        <v>17</v>
      </c>
      <c r="B59" s="136">
        <v>45666</v>
      </c>
      <c r="C59" s="12" t="s">
        <v>92</v>
      </c>
      <c r="D59" s="12" t="s">
        <v>93</v>
      </c>
      <c r="E59" s="151" t="s">
        <v>94</v>
      </c>
      <c r="F59" s="12" t="s">
        <v>186</v>
      </c>
      <c r="G59" s="12" t="s">
        <v>14</v>
      </c>
      <c r="H59" s="13" t="s">
        <v>183</v>
      </c>
      <c r="I59" s="13" t="s">
        <v>187</v>
      </c>
      <c r="J59" s="12" t="s">
        <v>17</v>
      </c>
    </row>
    <row r="60" spans="1:10" ht="40.5">
      <c r="A60" s="16">
        <v>18</v>
      </c>
      <c r="B60" s="136">
        <v>45666</v>
      </c>
      <c r="C60" s="12" t="s">
        <v>61</v>
      </c>
      <c r="D60" s="12" t="s">
        <v>62</v>
      </c>
      <c r="E60" s="12" t="s">
        <v>30</v>
      </c>
      <c r="F60" s="12" t="s">
        <v>31</v>
      </c>
      <c r="G60" s="12" t="s">
        <v>14</v>
      </c>
      <c r="H60" s="13" t="s">
        <v>183</v>
      </c>
      <c r="I60" s="13" t="s">
        <v>188</v>
      </c>
      <c r="J60" s="12" t="s">
        <v>17</v>
      </c>
    </row>
    <row r="61" spans="1:10" ht="189">
      <c r="A61" s="16">
        <v>19</v>
      </c>
      <c r="B61" s="136">
        <v>45666</v>
      </c>
      <c r="C61" s="12" t="s">
        <v>43</v>
      </c>
      <c r="D61" s="12" t="s">
        <v>44</v>
      </c>
      <c r="E61" s="12" t="s">
        <v>189</v>
      </c>
      <c r="F61" s="12" t="s">
        <v>46</v>
      </c>
      <c r="G61" s="12" t="s">
        <v>14</v>
      </c>
      <c r="H61" s="13" t="s">
        <v>183</v>
      </c>
      <c r="I61" s="13" t="s">
        <v>190</v>
      </c>
      <c r="J61" s="18" t="s">
        <v>17</v>
      </c>
    </row>
    <row r="62" spans="1:10" ht="27">
      <c r="A62" s="16">
        <v>20</v>
      </c>
      <c r="B62" s="136">
        <v>45666</v>
      </c>
      <c r="C62" s="12" t="s">
        <v>99</v>
      </c>
      <c r="D62" s="12" t="s">
        <v>97</v>
      </c>
      <c r="E62" s="357" t="s">
        <v>191</v>
      </c>
      <c r="F62" s="12" t="s">
        <v>186</v>
      </c>
      <c r="G62" s="12" t="s">
        <v>14</v>
      </c>
      <c r="H62" s="13" t="s">
        <v>183</v>
      </c>
      <c r="I62" s="13" t="s">
        <v>27</v>
      </c>
      <c r="J62" s="12" t="s">
        <v>17</v>
      </c>
    </row>
    <row r="63" spans="1:10" ht="67.5">
      <c r="A63" s="16">
        <v>21</v>
      </c>
      <c r="B63" s="136">
        <v>45667</v>
      </c>
      <c r="C63" s="12" t="s">
        <v>129</v>
      </c>
      <c r="D63" s="12" t="s">
        <v>130</v>
      </c>
      <c r="E63" s="12" t="s">
        <v>131</v>
      </c>
      <c r="F63" s="12" t="s">
        <v>13</v>
      </c>
      <c r="G63" s="12" t="s">
        <v>53</v>
      </c>
      <c r="H63" s="13" t="s">
        <v>192</v>
      </c>
      <c r="I63" s="13" t="s">
        <v>193</v>
      </c>
      <c r="J63" s="12" t="s">
        <v>17</v>
      </c>
    </row>
    <row r="64" spans="1:10" ht="40.5">
      <c r="A64" s="16">
        <v>22</v>
      </c>
      <c r="B64" s="136">
        <v>45667</v>
      </c>
      <c r="C64" s="12" t="s">
        <v>122</v>
      </c>
      <c r="D64" s="12" t="s">
        <v>123</v>
      </c>
      <c r="E64" s="12" t="s">
        <v>20</v>
      </c>
      <c r="F64" s="12" t="s">
        <v>40</v>
      </c>
      <c r="G64" s="12" t="s">
        <v>14</v>
      </c>
      <c r="H64" s="13" t="s">
        <v>183</v>
      </c>
      <c r="I64" s="13" t="s">
        <v>194</v>
      </c>
      <c r="J64" s="12" t="s">
        <v>17</v>
      </c>
    </row>
    <row r="65" spans="1:10" ht="67.5">
      <c r="A65" s="16">
        <v>23</v>
      </c>
      <c r="B65" s="136">
        <v>45667</v>
      </c>
      <c r="C65" s="12" t="s">
        <v>195</v>
      </c>
      <c r="D65" s="357" t="s">
        <v>196</v>
      </c>
      <c r="E65" s="12" t="s">
        <v>30</v>
      </c>
      <c r="F65" s="12" t="s">
        <v>31</v>
      </c>
      <c r="G65" s="12" t="s">
        <v>14</v>
      </c>
      <c r="H65" s="13" t="s">
        <v>183</v>
      </c>
      <c r="I65" s="13" t="s">
        <v>197</v>
      </c>
      <c r="J65" s="12" t="s">
        <v>17</v>
      </c>
    </row>
    <row r="66" spans="1:10" ht="54">
      <c r="A66" s="16">
        <v>24</v>
      </c>
      <c r="B66" s="136">
        <v>45671</v>
      </c>
      <c r="C66" s="12" t="s">
        <v>109</v>
      </c>
      <c r="D66" s="12" t="s">
        <v>198</v>
      </c>
      <c r="E66" s="12" t="s">
        <v>111</v>
      </c>
      <c r="F66" s="12" t="s">
        <v>40</v>
      </c>
      <c r="G66" s="12" t="s">
        <v>14</v>
      </c>
      <c r="H66" s="13" t="s">
        <v>183</v>
      </c>
      <c r="I66" s="13" t="s">
        <v>199</v>
      </c>
      <c r="J66" s="12" t="s">
        <v>17</v>
      </c>
    </row>
    <row r="67" spans="1:10" ht="54">
      <c r="A67" s="16">
        <v>25</v>
      </c>
      <c r="B67" s="136">
        <v>45671</v>
      </c>
      <c r="C67" s="12" t="s">
        <v>37</v>
      </c>
      <c r="D67" s="12" t="s">
        <v>38</v>
      </c>
      <c r="E67" s="12" t="s">
        <v>30</v>
      </c>
      <c r="F67" s="12" t="s">
        <v>31</v>
      </c>
      <c r="G67" s="12" t="s">
        <v>14</v>
      </c>
      <c r="H67" s="13" t="s">
        <v>183</v>
      </c>
      <c r="I67" s="13" t="s">
        <v>200</v>
      </c>
      <c r="J67" s="12" t="s">
        <v>17</v>
      </c>
    </row>
    <row r="68" spans="1:10" ht="27">
      <c r="A68" s="16">
        <v>26</v>
      </c>
      <c r="B68" s="136">
        <v>45674</v>
      </c>
      <c r="C68" s="12" t="s">
        <v>64</v>
      </c>
      <c r="D68" s="12" t="s">
        <v>106</v>
      </c>
      <c r="E68" s="12" t="s">
        <v>168</v>
      </c>
      <c r="F68" s="12" t="s">
        <v>26</v>
      </c>
      <c r="G68" s="12" t="s">
        <v>53</v>
      </c>
      <c r="H68" s="13" t="s">
        <v>192</v>
      </c>
      <c r="I68" s="13" t="s">
        <v>201</v>
      </c>
      <c r="J68" s="12" t="s">
        <v>17</v>
      </c>
    </row>
    <row r="69" spans="1:10" ht="189">
      <c r="A69" s="16">
        <v>27</v>
      </c>
      <c r="B69" s="136">
        <v>45679</v>
      </c>
      <c r="C69" s="12" t="s">
        <v>18</v>
      </c>
      <c r="D69" s="12" t="s">
        <v>19</v>
      </c>
      <c r="E69" s="12" t="s">
        <v>30</v>
      </c>
      <c r="F69" s="12" t="s">
        <v>31</v>
      </c>
      <c r="G69" s="12" t="s">
        <v>14</v>
      </c>
      <c r="H69" s="13" t="s">
        <v>183</v>
      </c>
      <c r="I69" s="13" t="s">
        <v>202</v>
      </c>
      <c r="J69" s="12" t="s">
        <v>17</v>
      </c>
    </row>
    <row r="70" spans="1:10" ht="54">
      <c r="A70" s="16">
        <v>28</v>
      </c>
      <c r="B70" s="136">
        <v>45681</v>
      </c>
      <c r="C70" s="12" t="s">
        <v>43</v>
      </c>
      <c r="D70" s="12" t="s">
        <v>44</v>
      </c>
      <c r="E70" s="12" t="s">
        <v>189</v>
      </c>
      <c r="F70" s="12" t="s">
        <v>46</v>
      </c>
      <c r="G70" s="12" t="s">
        <v>14</v>
      </c>
      <c r="H70" s="13" t="s">
        <v>203</v>
      </c>
      <c r="I70" s="13" t="s">
        <v>204</v>
      </c>
      <c r="J70" s="12" t="s">
        <v>17</v>
      </c>
    </row>
    <row r="71" spans="1:10" ht="81">
      <c r="A71" s="16">
        <v>29</v>
      </c>
      <c r="B71" s="136">
        <v>45681</v>
      </c>
      <c r="C71" s="12" t="s">
        <v>61</v>
      </c>
      <c r="D71" s="12" t="s">
        <v>205</v>
      </c>
      <c r="E71" s="12" t="s">
        <v>30</v>
      </c>
      <c r="F71" s="12" t="s">
        <v>31</v>
      </c>
      <c r="G71" s="12" t="s">
        <v>14</v>
      </c>
      <c r="H71" s="13" t="s">
        <v>206</v>
      </c>
      <c r="I71" s="13" t="s">
        <v>207</v>
      </c>
      <c r="J71" s="18" t="s">
        <v>17</v>
      </c>
    </row>
    <row r="72" spans="1:10" ht="94.5">
      <c r="A72" s="16">
        <v>30</v>
      </c>
      <c r="B72" s="136">
        <v>45691</v>
      </c>
      <c r="C72" s="12" t="s">
        <v>23</v>
      </c>
      <c r="D72" s="12" t="s">
        <v>24</v>
      </c>
      <c r="E72" s="12" t="s">
        <v>25</v>
      </c>
      <c r="F72" s="12" t="s">
        <v>26</v>
      </c>
      <c r="G72" s="12" t="s">
        <v>14</v>
      </c>
      <c r="H72" s="13" t="s">
        <v>208</v>
      </c>
      <c r="I72" s="13" t="s">
        <v>209</v>
      </c>
      <c r="J72" s="12" t="s">
        <v>17</v>
      </c>
    </row>
    <row r="73" spans="1:10" ht="121.5">
      <c r="A73" s="16">
        <v>31</v>
      </c>
      <c r="B73" s="136">
        <v>45691</v>
      </c>
      <c r="C73" s="12" t="s">
        <v>28</v>
      </c>
      <c r="D73" s="12" t="s">
        <v>29</v>
      </c>
      <c r="E73" s="12" t="s">
        <v>30</v>
      </c>
      <c r="F73" s="12" t="s">
        <v>31</v>
      </c>
      <c r="G73" s="12" t="s">
        <v>14</v>
      </c>
      <c r="H73" s="13" t="s">
        <v>208</v>
      </c>
      <c r="I73" s="13" t="s">
        <v>210</v>
      </c>
      <c r="J73" s="18" t="s">
        <v>17</v>
      </c>
    </row>
    <row r="74" spans="1:10" ht="27">
      <c r="A74" s="16">
        <v>32</v>
      </c>
      <c r="B74" s="136">
        <v>45691</v>
      </c>
      <c r="C74" s="12" t="s">
        <v>33</v>
      </c>
      <c r="D74" s="12" t="s">
        <v>34</v>
      </c>
      <c r="E74" s="12" t="s">
        <v>30</v>
      </c>
      <c r="F74" s="12" t="s">
        <v>31</v>
      </c>
      <c r="G74" s="12" t="s">
        <v>14</v>
      </c>
      <c r="H74" s="13" t="s">
        <v>208</v>
      </c>
      <c r="I74" s="13" t="s">
        <v>27</v>
      </c>
      <c r="J74" s="12" t="s">
        <v>17</v>
      </c>
    </row>
    <row r="75" spans="1:10" ht="94.5">
      <c r="A75" s="16">
        <v>33</v>
      </c>
      <c r="B75" s="136">
        <v>45691</v>
      </c>
      <c r="C75" s="12" t="s">
        <v>35</v>
      </c>
      <c r="D75" s="12" t="s">
        <v>36</v>
      </c>
      <c r="E75" s="12" t="s">
        <v>30</v>
      </c>
      <c r="F75" s="12" t="s">
        <v>31</v>
      </c>
      <c r="G75" s="12" t="s">
        <v>14</v>
      </c>
      <c r="H75" s="13" t="s">
        <v>208</v>
      </c>
      <c r="I75" s="13" t="s">
        <v>211</v>
      </c>
      <c r="J75" s="12" t="s">
        <v>17</v>
      </c>
    </row>
    <row r="76" spans="1:10" ht="40.5">
      <c r="A76" s="16">
        <v>34</v>
      </c>
      <c r="B76" s="136">
        <v>45691</v>
      </c>
      <c r="C76" s="12" t="s">
        <v>159</v>
      </c>
      <c r="D76" s="12" t="s">
        <v>212</v>
      </c>
      <c r="E76" s="12" t="s">
        <v>30</v>
      </c>
      <c r="F76" s="12" t="s">
        <v>31</v>
      </c>
      <c r="G76" s="12" t="s">
        <v>14</v>
      </c>
      <c r="H76" s="13" t="s">
        <v>208</v>
      </c>
      <c r="I76" s="13" t="s">
        <v>213</v>
      </c>
      <c r="J76" s="12" t="s">
        <v>17</v>
      </c>
    </row>
    <row r="77" spans="1:10" ht="67.5">
      <c r="A77" s="16">
        <v>35</v>
      </c>
      <c r="B77" s="136">
        <v>45692</v>
      </c>
      <c r="C77" s="12" t="s">
        <v>61</v>
      </c>
      <c r="D77" s="12" t="s">
        <v>205</v>
      </c>
      <c r="E77" s="12" t="s">
        <v>30</v>
      </c>
      <c r="F77" s="12" t="s">
        <v>31</v>
      </c>
      <c r="G77" s="12" t="s">
        <v>14</v>
      </c>
      <c r="H77" s="13" t="s">
        <v>214</v>
      </c>
      <c r="I77" s="13" t="s">
        <v>215</v>
      </c>
      <c r="J77" s="18" t="s">
        <v>17</v>
      </c>
    </row>
    <row r="78" spans="1:10" ht="27">
      <c r="A78" s="16">
        <v>36</v>
      </c>
      <c r="B78" s="136">
        <v>45692</v>
      </c>
      <c r="C78" s="12" t="s">
        <v>89</v>
      </c>
      <c r="D78" s="12" t="s">
        <v>90</v>
      </c>
      <c r="E78" s="12" t="s">
        <v>12</v>
      </c>
      <c r="F78" s="12" t="s">
        <v>91</v>
      </c>
      <c r="G78" s="12" t="s">
        <v>14</v>
      </c>
      <c r="H78" s="13" t="s">
        <v>208</v>
      </c>
      <c r="I78" s="13" t="s">
        <v>27</v>
      </c>
      <c r="J78" s="12" t="s">
        <v>17</v>
      </c>
    </row>
    <row r="79" spans="1:10" ht="27">
      <c r="A79" s="16">
        <v>37</v>
      </c>
      <c r="B79" s="136">
        <v>45692</v>
      </c>
      <c r="C79" s="12" t="s">
        <v>164</v>
      </c>
      <c r="D79" s="12" t="s">
        <v>165</v>
      </c>
      <c r="E79" s="12" t="s">
        <v>153</v>
      </c>
      <c r="F79" s="12" t="s">
        <v>26</v>
      </c>
      <c r="G79" s="12" t="s">
        <v>14</v>
      </c>
      <c r="H79" s="13" t="s">
        <v>208</v>
      </c>
      <c r="I79" s="13" t="s">
        <v>27</v>
      </c>
      <c r="J79" s="12" t="s">
        <v>17</v>
      </c>
    </row>
    <row r="80" spans="1:10" ht="27">
      <c r="A80" s="16">
        <v>38</v>
      </c>
      <c r="B80" s="136">
        <v>45692</v>
      </c>
      <c r="C80" s="12" t="s">
        <v>162</v>
      </c>
      <c r="D80" s="12" t="s">
        <v>163</v>
      </c>
      <c r="E80" s="12" t="s">
        <v>30</v>
      </c>
      <c r="F80" s="12" t="s">
        <v>26</v>
      </c>
      <c r="G80" s="12" t="s">
        <v>14</v>
      </c>
      <c r="H80" s="13" t="s">
        <v>208</v>
      </c>
      <c r="I80" s="13" t="s">
        <v>27</v>
      </c>
      <c r="J80" s="12" t="s">
        <v>17</v>
      </c>
    </row>
    <row r="81" spans="1:10" ht="81">
      <c r="A81" s="16">
        <v>39</v>
      </c>
      <c r="B81" s="136">
        <v>45693</v>
      </c>
      <c r="C81" s="12" t="s">
        <v>75</v>
      </c>
      <c r="D81" s="12" t="s">
        <v>76</v>
      </c>
      <c r="E81" s="12" t="s">
        <v>30</v>
      </c>
      <c r="F81" s="12" t="s">
        <v>31</v>
      </c>
      <c r="G81" s="12" t="s">
        <v>14</v>
      </c>
      <c r="H81" s="13" t="s">
        <v>208</v>
      </c>
      <c r="I81" s="13" t="s">
        <v>216</v>
      </c>
      <c r="J81" s="12" t="s">
        <v>17</v>
      </c>
    </row>
    <row r="82" spans="1:10" ht="27">
      <c r="A82" s="16">
        <v>40</v>
      </c>
      <c r="B82" s="136">
        <v>45693</v>
      </c>
      <c r="C82" s="12" t="s">
        <v>79</v>
      </c>
      <c r="D82" s="12" t="s">
        <v>80</v>
      </c>
      <c r="E82" s="12" t="s">
        <v>81</v>
      </c>
      <c r="F82" s="12" t="s">
        <v>13</v>
      </c>
      <c r="G82" s="12" t="s">
        <v>14</v>
      </c>
      <c r="H82" s="13" t="s">
        <v>208</v>
      </c>
      <c r="I82" s="13" t="s">
        <v>27</v>
      </c>
      <c r="J82" s="12" t="s">
        <v>17</v>
      </c>
    </row>
    <row r="83" spans="1:10" ht="54">
      <c r="A83" s="16">
        <v>41</v>
      </c>
      <c r="B83" s="136">
        <v>45693</v>
      </c>
      <c r="C83" s="12" t="s">
        <v>10</v>
      </c>
      <c r="D83" s="12" t="s">
        <v>11</v>
      </c>
      <c r="E83" s="12" t="s">
        <v>12</v>
      </c>
      <c r="F83" s="12" t="s">
        <v>31</v>
      </c>
      <c r="G83" s="12" t="s">
        <v>14</v>
      </c>
      <c r="H83" s="13" t="s">
        <v>208</v>
      </c>
      <c r="I83" s="13" t="s">
        <v>217</v>
      </c>
      <c r="J83" s="12" t="s">
        <v>17</v>
      </c>
    </row>
    <row r="84" spans="1:10" ht="27">
      <c r="A84" s="16">
        <v>42</v>
      </c>
      <c r="B84" s="136">
        <v>45693</v>
      </c>
      <c r="C84" s="12" t="s">
        <v>56</v>
      </c>
      <c r="D84" s="12" t="s">
        <v>218</v>
      </c>
      <c r="E84" s="12" t="s">
        <v>58</v>
      </c>
      <c r="F84" s="12" t="s">
        <v>13</v>
      </c>
      <c r="G84" s="12" t="s">
        <v>14</v>
      </c>
      <c r="H84" s="13" t="s">
        <v>208</v>
      </c>
      <c r="I84" s="13" t="s">
        <v>27</v>
      </c>
      <c r="J84" s="12" t="s">
        <v>17</v>
      </c>
    </row>
    <row r="85" spans="1:10" ht="27">
      <c r="A85" s="16">
        <v>43</v>
      </c>
      <c r="B85" s="136">
        <v>45693</v>
      </c>
      <c r="C85" s="12" t="s">
        <v>82</v>
      </c>
      <c r="D85" s="12" t="s">
        <v>83</v>
      </c>
      <c r="E85" s="12" t="s">
        <v>58</v>
      </c>
      <c r="F85" s="12" t="s">
        <v>13</v>
      </c>
      <c r="G85" s="12" t="s">
        <v>14</v>
      </c>
      <c r="H85" s="13" t="s">
        <v>208</v>
      </c>
      <c r="I85" s="13" t="s">
        <v>27</v>
      </c>
      <c r="J85" s="12" t="s">
        <v>17</v>
      </c>
    </row>
    <row r="86" spans="1:10" ht="54">
      <c r="A86" s="16">
        <v>44</v>
      </c>
      <c r="B86" s="136">
        <v>45694</v>
      </c>
      <c r="C86" s="12" t="s">
        <v>92</v>
      </c>
      <c r="D86" s="12" t="s">
        <v>93</v>
      </c>
      <c r="E86" s="12" t="s">
        <v>219</v>
      </c>
      <c r="F86" s="12" t="s">
        <v>220</v>
      </c>
      <c r="G86" s="12" t="s">
        <v>14</v>
      </c>
      <c r="H86" s="13" t="s">
        <v>208</v>
      </c>
      <c r="I86" s="13" t="s">
        <v>221</v>
      </c>
      <c r="J86" s="12" t="s">
        <v>17</v>
      </c>
    </row>
    <row r="87" spans="1:10" ht="54">
      <c r="A87" s="16">
        <v>45</v>
      </c>
      <c r="B87" s="136">
        <v>45694</v>
      </c>
      <c r="C87" s="12" t="s">
        <v>43</v>
      </c>
      <c r="D87" s="12" t="s">
        <v>44</v>
      </c>
      <c r="E87" s="12" t="s">
        <v>45</v>
      </c>
      <c r="F87" s="12" t="s">
        <v>46</v>
      </c>
      <c r="G87" s="12" t="s">
        <v>14</v>
      </c>
      <c r="H87" s="13" t="s">
        <v>208</v>
      </c>
      <c r="I87" s="13" t="s">
        <v>222</v>
      </c>
      <c r="J87" s="12" t="s">
        <v>17</v>
      </c>
    </row>
    <row r="88" spans="1:10" ht="27">
      <c r="A88" s="16">
        <v>46</v>
      </c>
      <c r="B88" s="136">
        <v>45694</v>
      </c>
      <c r="C88" s="12" t="s">
        <v>99</v>
      </c>
      <c r="D88" s="12" t="s">
        <v>223</v>
      </c>
      <c r="E88" s="12" t="s">
        <v>100</v>
      </c>
      <c r="F88" s="12" t="s">
        <v>101</v>
      </c>
      <c r="G88" s="12" t="s">
        <v>14</v>
      </c>
      <c r="H88" s="13" t="s">
        <v>208</v>
      </c>
      <c r="I88" s="13" t="s">
        <v>27</v>
      </c>
      <c r="J88" s="12" t="s">
        <v>17</v>
      </c>
    </row>
    <row r="89" spans="1:10" ht="27">
      <c r="A89" s="16">
        <v>47</v>
      </c>
      <c r="B89" s="136">
        <v>45695</v>
      </c>
      <c r="C89" s="12" t="s">
        <v>119</v>
      </c>
      <c r="D89" s="12" t="s">
        <v>224</v>
      </c>
      <c r="E89" s="12" t="s">
        <v>111</v>
      </c>
      <c r="F89" s="12" t="s">
        <v>40</v>
      </c>
      <c r="G89" s="12" t="s">
        <v>14</v>
      </c>
      <c r="H89" s="13" t="s">
        <v>208</v>
      </c>
      <c r="I89" s="13" t="s">
        <v>27</v>
      </c>
      <c r="J89" s="12" t="s">
        <v>17</v>
      </c>
    </row>
    <row r="90" spans="1:10" ht="27">
      <c r="A90" s="16">
        <v>48</v>
      </c>
      <c r="B90" s="136">
        <v>45695</v>
      </c>
      <c r="C90" s="12" t="s">
        <v>124</v>
      </c>
      <c r="D90" s="12" t="s">
        <v>125</v>
      </c>
      <c r="E90" s="12" t="s">
        <v>225</v>
      </c>
      <c r="F90" s="12" t="s">
        <v>226</v>
      </c>
      <c r="G90" s="12" t="s">
        <v>14</v>
      </c>
      <c r="H90" s="13" t="s">
        <v>208</v>
      </c>
      <c r="I90" s="13" t="s">
        <v>27</v>
      </c>
      <c r="J90" s="12" t="s">
        <v>17</v>
      </c>
    </row>
    <row r="91" spans="1:10" ht="27">
      <c r="A91" s="16">
        <v>49</v>
      </c>
      <c r="B91" s="136">
        <v>45695</v>
      </c>
      <c r="C91" s="12" t="s">
        <v>122</v>
      </c>
      <c r="D91" s="12" t="s">
        <v>123</v>
      </c>
      <c r="E91" s="12" t="s">
        <v>20</v>
      </c>
      <c r="F91" s="12" t="s">
        <v>40</v>
      </c>
      <c r="G91" s="12" t="s">
        <v>14</v>
      </c>
      <c r="H91" s="13" t="s">
        <v>208</v>
      </c>
      <c r="I91" s="13" t="s">
        <v>27</v>
      </c>
      <c r="J91" s="12" t="s">
        <v>17</v>
      </c>
    </row>
    <row r="92" spans="1:10" ht="81">
      <c r="A92" s="16">
        <v>50</v>
      </c>
      <c r="B92" s="136">
        <v>45698</v>
      </c>
      <c r="C92" s="12" t="s">
        <v>28</v>
      </c>
      <c r="D92" s="12" t="s">
        <v>227</v>
      </c>
      <c r="E92" s="12" t="s">
        <v>228</v>
      </c>
      <c r="F92" s="12" t="s">
        <v>161</v>
      </c>
      <c r="G92" s="12" t="s">
        <v>14</v>
      </c>
      <c r="H92" s="13" t="s">
        <v>229</v>
      </c>
      <c r="I92" s="13" t="s">
        <v>230</v>
      </c>
      <c r="J92" s="18" t="s">
        <v>17</v>
      </c>
    </row>
    <row r="93" spans="1:10" ht="27">
      <c r="A93" s="16">
        <v>51</v>
      </c>
      <c r="B93" s="136">
        <v>45698</v>
      </c>
      <c r="C93" s="12" t="s">
        <v>109</v>
      </c>
      <c r="D93" s="12" t="s">
        <v>198</v>
      </c>
      <c r="E93" s="12" t="s">
        <v>111</v>
      </c>
      <c r="F93" s="12" t="s">
        <v>40</v>
      </c>
      <c r="G93" s="12" t="s">
        <v>14</v>
      </c>
      <c r="H93" s="13" t="s">
        <v>208</v>
      </c>
      <c r="I93" s="13" t="s">
        <v>27</v>
      </c>
      <c r="J93" s="12" t="s">
        <v>17</v>
      </c>
    </row>
    <row r="94" spans="1:10" ht="27">
      <c r="A94" s="16">
        <v>52</v>
      </c>
      <c r="B94" s="136">
        <v>45698</v>
      </c>
      <c r="C94" s="12" t="s">
        <v>37</v>
      </c>
      <c r="D94" s="12" t="s">
        <v>38</v>
      </c>
      <c r="E94" s="12" t="s">
        <v>30</v>
      </c>
      <c r="F94" s="12" t="s">
        <v>31</v>
      </c>
      <c r="G94" s="12" t="s">
        <v>14</v>
      </c>
      <c r="H94" s="13" t="s">
        <v>208</v>
      </c>
      <c r="I94" s="13" t="s">
        <v>27</v>
      </c>
      <c r="J94" s="12" t="s">
        <v>17</v>
      </c>
    </row>
    <row r="95" spans="1:10" ht="54">
      <c r="A95" s="16">
        <v>53</v>
      </c>
      <c r="B95" s="136">
        <v>45698</v>
      </c>
      <c r="C95" s="12" t="s">
        <v>18</v>
      </c>
      <c r="D95" s="12" t="s">
        <v>19</v>
      </c>
      <c r="E95" s="12" t="s">
        <v>231</v>
      </c>
      <c r="F95" s="12" t="s">
        <v>232</v>
      </c>
      <c r="G95" s="12" t="s">
        <v>14</v>
      </c>
      <c r="H95" s="13" t="s">
        <v>233</v>
      </c>
      <c r="I95" s="13" t="s">
        <v>234</v>
      </c>
      <c r="J95" s="18" t="s">
        <v>17</v>
      </c>
    </row>
    <row r="96" spans="1:10" ht="67.5">
      <c r="A96" s="16">
        <v>54</v>
      </c>
      <c r="B96" s="136">
        <v>45698</v>
      </c>
      <c r="C96" s="12" t="s">
        <v>49</v>
      </c>
      <c r="D96" s="12" t="s">
        <v>171</v>
      </c>
      <c r="E96" s="357" t="s">
        <v>235</v>
      </c>
      <c r="F96" s="12" t="s">
        <v>236</v>
      </c>
      <c r="G96" s="12" t="s">
        <v>14</v>
      </c>
      <c r="H96" s="13" t="s">
        <v>237</v>
      </c>
      <c r="I96" s="13" t="s">
        <v>238</v>
      </c>
      <c r="J96" s="12" t="s">
        <v>17</v>
      </c>
    </row>
    <row r="97" spans="1:10" ht="54">
      <c r="A97" s="16">
        <v>55</v>
      </c>
      <c r="B97" s="136">
        <v>45700</v>
      </c>
      <c r="C97" s="12" t="s">
        <v>61</v>
      </c>
      <c r="D97" s="12" t="s">
        <v>205</v>
      </c>
      <c r="E97" s="12" t="s">
        <v>30</v>
      </c>
      <c r="F97" s="12" t="s">
        <v>31</v>
      </c>
      <c r="G97" s="12" t="s">
        <v>14</v>
      </c>
      <c r="H97" s="13" t="s">
        <v>239</v>
      </c>
      <c r="I97" s="13" t="s">
        <v>240</v>
      </c>
      <c r="J97" s="18" t="s">
        <v>17</v>
      </c>
    </row>
    <row r="98" spans="1:10" ht="54">
      <c r="A98" s="16">
        <v>56</v>
      </c>
      <c r="B98" s="136">
        <v>45700</v>
      </c>
      <c r="C98" s="12" t="s">
        <v>109</v>
      </c>
      <c r="D98" s="12" t="s">
        <v>198</v>
      </c>
      <c r="E98" s="12" t="s">
        <v>111</v>
      </c>
      <c r="F98" s="12" t="s">
        <v>40</v>
      </c>
      <c r="G98" s="12" t="s">
        <v>14</v>
      </c>
      <c r="H98" s="13" t="s">
        <v>241</v>
      </c>
      <c r="I98" s="13" t="s">
        <v>242</v>
      </c>
      <c r="J98" s="12" t="s">
        <v>17</v>
      </c>
    </row>
    <row r="99" spans="1:10" ht="54">
      <c r="A99" s="16">
        <v>57</v>
      </c>
      <c r="B99" s="136">
        <v>45706</v>
      </c>
      <c r="C99" s="12" t="s">
        <v>151</v>
      </c>
      <c r="D99" s="12" t="s">
        <v>152</v>
      </c>
      <c r="E99" s="12" t="s">
        <v>243</v>
      </c>
      <c r="F99" s="12" t="s">
        <v>31</v>
      </c>
      <c r="G99" s="12" t="s">
        <v>14</v>
      </c>
      <c r="H99" s="13" t="s">
        <v>244</v>
      </c>
      <c r="I99" s="13" t="s">
        <v>245</v>
      </c>
      <c r="J99" s="12" t="s">
        <v>17</v>
      </c>
    </row>
    <row r="100" spans="1:10" ht="54">
      <c r="A100" s="16">
        <v>58</v>
      </c>
      <c r="B100" s="136">
        <v>45707</v>
      </c>
      <c r="C100" s="12" t="s">
        <v>75</v>
      </c>
      <c r="D100" s="12" t="s">
        <v>246</v>
      </c>
      <c r="E100" s="12" t="s">
        <v>134</v>
      </c>
      <c r="F100" s="12" t="s">
        <v>247</v>
      </c>
      <c r="G100" s="12" t="s">
        <v>14</v>
      </c>
      <c r="H100" s="13" t="s">
        <v>248</v>
      </c>
      <c r="I100" s="13" t="s">
        <v>249</v>
      </c>
      <c r="J100" s="18" t="s">
        <v>17</v>
      </c>
    </row>
    <row r="101" spans="1:10" ht="135">
      <c r="A101" s="16">
        <v>59</v>
      </c>
      <c r="B101" s="136">
        <v>45707</v>
      </c>
      <c r="C101" s="12" t="s">
        <v>250</v>
      </c>
      <c r="D101" s="12" t="s">
        <v>251</v>
      </c>
      <c r="E101" s="12" t="s">
        <v>252</v>
      </c>
      <c r="F101" s="12" t="s">
        <v>26</v>
      </c>
      <c r="G101" s="12" t="s">
        <v>14</v>
      </c>
      <c r="H101" s="13" t="s">
        <v>253</v>
      </c>
      <c r="I101" s="13" t="s">
        <v>254</v>
      </c>
      <c r="J101" s="18" t="s">
        <v>17</v>
      </c>
    </row>
    <row r="102" spans="1:10" ht="108">
      <c r="A102" s="16">
        <v>60</v>
      </c>
      <c r="B102" s="136">
        <v>45707</v>
      </c>
      <c r="C102" s="12" t="s">
        <v>75</v>
      </c>
      <c r="D102" s="12" t="s">
        <v>76</v>
      </c>
      <c r="E102" s="12" t="s">
        <v>255</v>
      </c>
      <c r="F102" s="12" t="s">
        <v>31</v>
      </c>
      <c r="G102" s="12" t="s">
        <v>14</v>
      </c>
      <c r="H102" s="13" t="s">
        <v>256</v>
      </c>
      <c r="I102" s="13" t="s">
        <v>257</v>
      </c>
      <c r="J102" s="12" t="s">
        <v>17</v>
      </c>
    </row>
    <row r="103" spans="1:10" ht="81">
      <c r="A103" s="16">
        <v>61</v>
      </c>
      <c r="B103" s="136">
        <v>45709</v>
      </c>
      <c r="C103" s="12" t="s">
        <v>159</v>
      </c>
      <c r="D103" s="12" t="s">
        <v>212</v>
      </c>
      <c r="E103" s="12" t="s">
        <v>178</v>
      </c>
      <c r="F103" s="12" t="s">
        <v>161</v>
      </c>
      <c r="G103" s="12" t="s">
        <v>14</v>
      </c>
      <c r="H103" s="13" t="s">
        <v>258</v>
      </c>
      <c r="I103" s="13" t="s">
        <v>259</v>
      </c>
      <c r="J103" s="18" t="s">
        <v>17</v>
      </c>
    </row>
    <row r="104" spans="1:10" ht="135">
      <c r="A104" s="16">
        <v>62</v>
      </c>
      <c r="B104" s="136">
        <v>45712</v>
      </c>
      <c r="C104" s="12" t="s">
        <v>18</v>
      </c>
      <c r="D104" s="12" t="s">
        <v>19</v>
      </c>
      <c r="E104" s="12" t="s">
        <v>30</v>
      </c>
      <c r="F104" s="12" t="s">
        <v>31</v>
      </c>
      <c r="G104" s="12" t="s">
        <v>14</v>
      </c>
      <c r="H104" s="13" t="s">
        <v>208</v>
      </c>
      <c r="I104" s="13" t="s">
        <v>260</v>
      </c>
      <c r="J104" s="18" t="s">
        <v>17</v>
      </c>
    </row>
    <row r="105" spans="1:10" ht="67.5">
      <c r="A105" s="16">
        <v>63</v>
      </c>
      <c r="B105" s="136">
        <v>45716</v>
      </c>
      <c r="C105" s="12" t="s">
        <v>18</v>
      </c>
      <c r="D105" s="12" t="s">
        <v>19</v>
      </c>
      <c r="E105" s="12" t="s">
        <v>255</v>
      </c>
      <c r="F105" s="12" t="s">
        <v>232</v>
      </c>
      <c r="G105" s="12" t="s">
        <v>14</v>
      </c>
      <c r="H105" s="13" t="s">
        <v>261</v>
      </c>
      <c r="I105" s="13" t="s">
        <v>262</v>
      </c>
      <c r="J105" s="12" t="s">
        <v>17</v>
      </c>
    </row>
    <row r="106" spans="1:10" ht="67.5">
      <c r="A106" s="16">
        <v>64</v>
      </c>
      <c r="B106" s="136">
        <v>45716</v>
      </c>
      <c r="C106" s="12" t="s">
        <v>28</v>
      </c>
      <c r="D106" s="12" t="s">
        <v>227</v>
      </c>
      <c r="E106" s="12" t="s">
        <v>178</v>
      </c>
      <c r="F106" s="12" t="s">
        <v>31</v>
      </c>
      <c r="G106" s="12" t="s">
        <v>14</v>
      </c>
      <c r="H106" s="13" t="s">
        <v>263</v>
      </c>
      <c r="I106" s="13" t="s">
        <v>264</v>
      </c>
      <c r="J106" s="12" t="s">
        <v>17</v>
      </c>
    </row>
    <row r="107" spans="1:10" ht="27">
      <c r="A107" s="16">
        <v>65</v>
      </c>
      <c r="B107" s="136">
        <v>45720</v>
      </c>
      <c r="C107" s="12" t="s">
        <v>23</v>
      </c>
      <c r="D107" s="12" t="s">
        <v>24</v>
      </c>
      <c r="E107" s="12" t="s">
        <v>25</v>
      </c>
      <c r="F107" s="12" t="s">
        <v>26</v>
      </c>
      <c r="G107" s="12" t="s">
        <v>14</v>
      </c>
      <c r="H107" s="13" t="s">
        <v>265</v>
      </c>
      <c r="I107" s="13" t="s">
        <v>27</v>
      </c>
      <c r="J107" s="12" t="s">
        <v>17</v>
      </c>
    </row>
    <row r="108" spans="1:10" ht="27">
      <c r="A108" s="16">
        <v>66</v>
      </c>
      <c r="B108" s="136">
        <v>45720</v>
      </c>
      <c r="C108" s="12" t="s">
        <v>28</v>
      </c>
      <c r="D108" s="12" t="s">
        <v>227</v>
      </c>
      <c r="E108" s="12" t="s">
        <v>30</v>
      </c>
      <c r="F108" s="12" t="s">
        <v>266</v>
      </c>
      <c r="G108" s="12" t="s">
        <v>14</v>
      </c>
      <c r="H108" s="13" t="s">
        <v>265</v>
      </c>
      <c r="I108" s="13" t="s">
        <v>27</v>
      </c>
      <c r="J108" s="12" t="s">
        <v>17</v>
      </c>
    </row>
    <row r="109" spans="1:10" ht="27">
      <c r="A109" s="16">
        <v>67</v>
      </c>
      <c r="B109" s="136">
        <v>45720</v>
      </c>
      <c r="C109" s="12" t="s">
        <v>33</v>
      </c>
      <c r="D109" s="12" t="s">
        <v>34</v>
      </c>
      <c r="E109" s="12" t="s">
        <v>30</v>
      </c>
      <c r="F109" s="12" t="s">
        <v>161</v>
      </c>
      <c r="G109" s="12" t="s">
        <v>14</v>
      </c>
      <c r="H109" s="13" t="s">
        <v>265</v>
      </c>
      <c r="I109" s="13" t="s">
        <v>27</v>
      </c>
      <c r="J109" s="12" t="s">
        <v>17</v>
      </c>
    </row>
    <row r="110" spans="1:10" ht="81">
      <c r="A110" s="16">
        <v>68</v>
      </c>
      <c r="B110" s="136">
        <v>45720</v>
      </c>
      <c r="C110" s="12" t="s">
        <v>35</v>
      </c>
      <c r="D110" s="12" t="s">
        <v>36</v>
      </c>
      <c r="E110" s="12" t="s">
        <v>30</v>
      </c>
      <c r="F110" s="12" t="s">
        <v>267</v>
      </c>
      <c r="G110" s="12" t="s">
        <v>14</v>
      </c>
      <c r="H110" s="13" t="s">
        <v>265</v>
      </c>
      <c r="I110" s="13" t="s">
        <v>268</v>
      </c>
      <c r="J110" s="12" t="s">
        <v>17</v>
      </c>
    </row>
    <row r="111" spans="1:10" ht="27">
      <c r="A111" s="16">
        <v>69</v>
      </c>
      <c r="B111" s="136">
        <v>45720</v>
      </c>
      <c r="C111" s="12" t="s">
        <v>162</v>
      </c>
      <c r="D111" s="12" t="s">
        <v>163</v>
      </c>
      <c r="E111" s="12" t="s">
        <v>30</v>
      </c>
      <c r="F111" s="12" t="s">
        <v>247</v>
      </c>
      <c r="G111" s="12" t="s">
        <v>14</v>
      </c>
      <c r="H111" s="13" t="s">
        <v>265</v>
      </c>
      <c r="I111" s="13" t="s">
        <v>27</v>
      </c>
      <c r="J111" s="12" t="s">
        <v>17</v>
      </c>
    </row>
    <row r="112" spans="1:10" ht="27">
      <c r="A112" s="16">
        <v>70</v>
      </c>
      <c r="B112" s="136">
        <v>45720</v>
      </c>
      <c r="C112" s="12" t="s">
        <v>159</v>
      </c>
      <c r="D112" s="12" t="s">
        <v>212</v>
      </c>
      <c r="E112" s="12" t="s">
        <v>30</v>
      </c>
      <c r="F112" s="12" t="s">
        <v>161</v>
      </c>
      <c r="G112" s="12" t="s">
        <v>14</v>
      </c>
      <c r="H112" s="13" t="s">
        <v>265</v>
      </c>
      <c r="I112" s="13" t="s">
        <v>27</v>
      </c>
      <c r="J112" s="12" t="s">
        <v>17</v>
      </c>
    </row>
    <row r="113" spans="1:10" ht="27">
      <c r="A113" s="16">
        <v>71</v>
      </c>
      <c r="B113" s="136">
        <v>45721</v>
      </c>
      <c r="C113" s="12" t="s">
        <v>89</v>
      </c>
      <c r="D113" s="12" t="s">
        <v>90</v>
      </c>
      <c r="E113" s="12" t="s">
        <v>12</v>
      </c>
      <c r="F113" s="12" t="s">
        <v>91</v>
      </c>
      <c r="G113" s="12" t="s">
        <v>14</v>
      </c>
      <c r="H113" s="13" t="s">
        <v>265</v>
      </c>
      <c r="I113" s="13" t="s">
        <v>27</v>
      </c>
      <c r="J113" s="12" t="s">
        <v>17</v>
      </c>
    </row>
    <row r="114" spans="1:10" ht="27">
      <c r="A114" s="16">
        <v>72</v>
      </c>
      <c r="B114" s="136">
        <v>45721</v>
      </c>
      <c r="C114" s="12" t="s">
        <v>164</v>
      </c>
      <c r="D114" s="12" t="s">
        <v>165</v>
      </c>
      <c r="E114" s="12" t="s">
        <v>153</v>
      </c>
      <c r="F114" s="12" t="s">
        <v>26</v>
      </c>
      <c r="G114" s="12" t="s">
        <v>14</v>
      </c>
      <c r="H114" s="13" t="s">
        <v>265</v>
      </c>
      <c r="I114" s="13" t="s">
        <v>27</v>
      </c>
      <c r="J114" s="12" t="s">
        <v>17</v>
      </c>
    </row>
    <row r="115" spans="1:10" ht="189">
      <c r="A115" s="16">
        <v>73</v>
      </c>
      <c r="B115" s="136">
        <v>45721</v>
      </c>
      <c r="C115" s="12" t="s">
        <v>269</v>
      </c>
      <c r="D115" s="12" t="s">
        <v>270</v>
      </c>
      <c r="E115" s="12" t="s">
        <v>189</v>
      </c>
      <c r="F115" s="12" t="s">
        <v>271</v>
      </c>
      <c r="G115" s="12" t="s">
        <v>14</v>
      </c>
      <c r="H115" s="13" t="s">
        <v>265</v>
      </c>
      <c r="I115" s="13" t="s">
        <v>272</v>
      </c>
      <c r="J115" s="12" t="s">
        <v>17</v>
      </c>
    </row>
    <row r="116" spans="1:10" ht="81">
      <c r="A116" s="16">
        <v>74</v>
      </c>
      <c r="B116" s="136">
        <v>45721</v>
      </c>
      <c r="C116" s="12" t="s">
        <v>75</v>
      </c>
      <c r="D116" s="12" t="s">
        <v>76</v>
      </c>
      <c r="E116" s="12" t="s">
        <v>30</v>
      </c>
      <c r="F116" s="12" t="s">
        <v>31</v>
      </c>
      <c r="G116" s="12" t="s">
        <v>14</v>
      </c>
      <c r="H116" s="13" t="s">
        <v>265</v>
      </c>
      <c r="I116" s="13" t="s">
        <v>273</v>
      </c>
      <c r="J116" s="18" t="s">
        <v>17</v>
      </c>
    </row>
    <row r="117" spans="1:10" ht="81">
      <c r="A117" s="16">
        <v>75</v>
      </c>
      <c r="B117" s="136">
        <v>45721</v>
      </c>
      <c r="C117" s="12" t="s">
        <v>102</v>
      </c>
      <c r="D117" s="12" t="s">
        <v>274</v>
      </c>
      <c r="E117" s="12" t="s">
        <v>94</v>
      </c>
      <c r="F117" s="12" t="s">
        <v>31</v>
      </c>
      <c r="G117" s="12" t="s">
        <v>53</v>
      </c>
      <c r="H117" s="13" t="s">
        <v>275</v>
      </c>
      <c r="I117" s="13" t="s">
        <v>276</v>
      </c>
      <c r="J117" s="330" t="s">
        <v>17</v>
      </c>
    </row>
    <row r="118" spans="1:10" ht="27">
      <c r="A118" s="16">
        <v>76</v>
      </c>
      <c r="B118" s="136">
        <v>45722</v>
      </c>
      <c r="C118" s="12" t="s">
        <v>79</v>
      </c>
      <c r="D118" s="12" t="s">
        <v>80</v>
      </c>
      <c r="E118" s="12" t="s">
        <v>81</v>
      </c>
      <c r="F118" s="12" t="s">
        <v>13</v>
      </c>
      <c r="G118" s="12" t="s">
        <v>14</v>
      </c>
      <c r="H118" s="13" t="s">
        <v>265</v>
      </c>
      <c r="I118" s="13" t="s">
        <v>27</v>
      </c>
      <c r="J118" s="12" t="s">
        <v>17</v>
      </c>
    </row>
    <row r="119" spans="1:10" ht="27">
      <c r="A119" s="16">
        <v>77</v>
      </c>
      <c r="B119" s="136">
        <v>45722</v>
      </c>
      <c r="C119" s="12" t="s">
        <v>56</v>
      </c>
      <c r="D119" s="12" t="s">
        <v>218</v>
      </c>
      <c r="E119" s="12" t="s">
        <v>58</v>
      </c>
      <c r="F119" s="12" t="s">
        <v>13</v>
      </c>
      <c r="G119" s="12" t="s">
        <v>14</v>
      </c>
      <c r="H119" s="13" t="s">
        <v>265</v>
      </c>
      <c r="I119" s="13" t="s">
        <v>27</v>
      </c>
      <c r="J119" s="12" t="s">
        <v>17</v>
      </c>
    </row>
    <row r="120" spans="1:10" ht="27">
      <c r="A120" s="16">
        <v>78</v>
      </c>
      <c r="B120" s="136">
        <v>45722</v>
      </c>
      <c r="C120" s="12" t="s">
        <v>82</v>
      </c>
      <c r="D120" s="12" t="s">
        <v>83</v>
      </c>
      <c r="E120" s="12" t="s">
        <v>58</v>
      </c>
      <c r="F120" s="12" t="s">
        <v>13</v>
      </c>
      <c r="G120" s="12" t="s">
        <v>14</v>
      </c>
      <c r="H120" s="13" t="s">
        <v>265</v>
      </c>
      <c r="I120" s="13" t="s">
        <v>27</v>
      </c>
      <c r="J120" s="12" t="s">
        <v>17</v>
      </c>
    </row>
    <row r="121" spans="1:10" ht="27">
      <c r="A121" s="16">
        <v>79</v>
      </c>
      <c r="B121" s="136">
        <v>45722</v>
      </c>
      <c r="C121" s="12" t="s">
        <v>61</v>
      </c>
      <c r="D121" s="12" t="s">
        <v>277</v>
      </c>
      <c r="E121" s="12" t="s">
        <v>30</v>
      </c>
      <c r="F121" s="12" t="s">
        <v>31</v>
      </c>
      <c r="G121" s="12" t="s">
        <v>14</v>
      </c>
      <c r="H121" s="13" t="s">
        <v>265</v>
      </c>
      <c r="I121" s="13" t="s">
        <v>27</v>
      </c>
      <c r="J121" s="12" t="s">
        <v>17</v>
      </c>
    </row>
    <row r="122" spans="1:10" ht="54">
      <c r="A122" s="16">
        <v>80</v>
      </c>
      <c r="B122" s="136">
        <v>45722</v>
      </c>
      <c r="C122" s="12" t="s">
        <v>10</v>
      </c>
      <c r="D122" s="12" t="s">
        <v>278</v>
      </c>
      <c r="E122" s="12" t="s">
        <v>30</v>
      </c>
      <c r="F122" s="12" t="s">
        <v>31</v>
      </c>
      <c r="G122" s="12" t="s">
        <v>14</v>
      </c>
      <c r="H122" s="13" t="s">
        <v>265</v>
      </c>
      <c r="I122" s="13" t="s">
        <v>279</v>
      </c>
      <c r="J122" s="12" t="s">
        <v>17</v>
      </c>
    </row>
    <row r="123" spans="1:10" ht="27">
      <c r="A123" s="16">
        <v>81</v>
      </c>
      <c r="B123" s="136">
        <v>45723</v>
      </c>
      <c r="C123" s="12" t="s">
        <v>122</v>
      </c>
      <c r="D123" s="12" t="s">
        <v>123</v>
      </c>
      <c r="E123" s="12" t="s">
        <v>20</v>
      </c>
      <c r="F123" s="12" t="s">
        <v>40</v>
      </c>
      <c r="G123" s="12" t="s">
        <v>14</v>
      </c>
      <c r="H123" s="13" t="s">
        <v>265</v>
      </c>
      <c r="I123" s="13" t="s">
        <v>27</v>
      </c>
      <c r="J123" s="12" t="s">
        <v>17</v>
      </c>
    </row>
    <row r="124" spans="1:10" ht="54">
      <c r="A124" s="16">
        <v>82</v>
      </c>
      <c r="B124" s="136">
        <v>45723</v>
      </c>
      <c r="C124" s="12" t="s">
        <v>124</v>
      </c>
      <c r="D124" s="12" t="s">
        <v>125</v>
      </c>
      <c r="E124" s="12" t="s">
        <v>30</v>
      </c>
      <c r="F124" s="12" t="s">
        <v>31</v>
      </c>
      <c r="G124" s="12" t="s">
        <v>14</v>
      </c>
      <c r="H124" s="13" t="s">
        <v>265</v>
      </c>
      <c r="I124" s="13" t="s">
        <v>280</v>
      </c>
      <c r="J124" s="18" t="s">
        <v>17</v>
      </c>
    </row>
    <row r="125" spans="1:10" ht="27">
      <c r="A125" s="16">
        <v>83</v>
      </c>
      <c r="B125" s="136">
        <v>45723</v>
      </c>
      <c r="C125" s="12" t="s">
        <v>92</v>
      </c>
      <c r="D125" s="12" t="s">
        <v>93</v>
      </c>
      <c r="E125" s="12" t="s">
        <v>281</v>
      </c>
      <c r="F125" s="12" t="s">
        <v>95</v>
      </c>
      <c r="G125" s="12" t="s">
        <v>14</v>
      </c>
      <c r="H125" s="13" t="s">
        <v>265</v>
      </c>
      <c r="I125" s="13" t="s">
        <v>27</v>
      </c>
      <c r="J125" s="12" t="s">
        <v>17</v>
      </c>
    </row>
    <row r="126" spans="1:10" ht="40.5">
      <c r="A126" s="16">
        <v>84</v>
      </c>
      <c r="B126" s="136">
        <v>45723</v>
      </c>
      <c r="C126" s="12" t="s">
        <v>43</v>
      </c>
      <c r="D126" s="12" t="s">
        <v>44</v>
      </c>
      <c r="E126" s="12" t="s">
        <v>45</v>
      </c>
      <c r="F126" s="12" t="s">
        <v>46</v>
      </c>
      <c r="G126" s="12" t="s">
        <v>14</v>
      </c>
      <c r="H126" s="13" t="s">
        <v>265</v>
      </c>
      <c r="I126" s="13" t="s">
        <v>282</v>
      </c>
      <c r="J126" s="12" t="s">
        <v>17</v>
      </c>
    </row>
    <row r="127" spans="1:10" ht="27">
      <c r="A127" s="16">
        <v>85</v>
      </c>
      <c r="B127" s="136">
        <v>45723</v>
      </c>
      <c r="C127" s="12" t="s">
        <v>99</v>
      </c>
      <c r="D127" s="12" t="s">
        <v>97</v>
      </c>
      <c r="E127" s="12" t="s">
        <v>100</v>
      </c>
      <c r="F127" s="12" t="s">
        <v>101</v>
      </c>
      <c r="G127" s="12" t="s">
        <v>14</v>
      </c>
      <c r="H127" s="13" t="s">
        <v>265</v>
      </c>
      <c r="I127" s="13" t="s">
        <v>27</v>
      </c>
      <c r="J127" s="12" t="s">
        <v>17</v>
      </c>
    </row>
    <row r="128" spans="1:10" ht="121.5">
      <c r="A128" s="16">
        <v>86</v>
      </c>
      <c r="B128" s="136">
        <v>45723</v>
      </c>
      <c r="C128" s="12" t="s">
        <v>49</v>
      </c>
      <c r="D128" s="12" t="s">
        <v>171</v>
      </c>
      <c r="E128" s="12" t="s">
        <v>255</v>
      </c>
      <c r="F128" s="12" t="s">
        <v>26</v>
      </c>
      <c r="G128" s="12" t="s">
        <v>14</v>
      </c>
      <c r="H128" s="13" t="s">
        <v>283</v>
      </c>
      <c r="I128" s="13" t="s">
        <v>284</v>
      </c>
      <c r="J128" s="12" t="s">
        <v>17</v>
      </c>
    </row>
    <row r="129" spans="1:10" ht="27">
      <c r="A129" s="16">
        <v>87</v>
      </c>
      <c r="B129" s="136">
        <v>45728</v>
      </c>
      <c r="C129" s="12" t="s">
        <v>285</v>
      </c>
      <c r="D129" s="12" t="s">
        <v>286</v>
      </c>
      <c r="E129" s="12" t="s">
        <v>30</v>
      </c>
      <c r="F129" s="12" t="s">
        <v>157</v>
      </c>
      <c r="G129" s="12" t="s">
        <v>14</v>
      </c>
      <c r="H129" s="13" t="s">
        <v>265</v>
      </c>
      <c r="I129" s="13" t="s">
        <v>27</v>
      </c>
      <c r="J129" s="12" t="s">
        <v>17</v>
      </c>
    </row>
    <row r="130" spans="1:10" ht="27">
      <c r="A130" s="16">
        <v>88</v>
      </c>
      <c r="B130" s="136">
        <v>45728</v>
      </c>
      <c r="C130" s="12" t="s">
        <v>109</v>
      </c>
      <c r="D130" s="12" t="s">
        <v>198</v>
      </c>
      <c r="E130" s="12" t="s">
        <v>111</v>
      </c>
      <c r="F130" s="12" t="s">
        <v>40</v>
      </c>
      <c r="G130" s="12" t="s">
        <v>14</v>
      </c>
      <c r="H130" s="13" t="s">
        <v>265</v>
      </c>
      <c r="I130" s="13" t="s">
        <v>27</v>
      </c>
      <c r="J130" s="12" t="s">
        <v>17</v>
      </c>
    </row>
    <row r="131" spans="1:10" ht="27">
      <c r="A131" s="16">
        <v>89</v>
      </c>
      <c r="B131" s="136">
        <v>45728</v>
      </c>
      <c r="C131" s="12" t="s">
        <v>37</v>
      </c>
      <c r="D131" s="12" t="s">
        <v>38</v>
      </c>
      <c r="E131" s="12" t="s">
        <v>30</v>
      </c>
      <c r="F131" s="12" t="s">
        <v>31</v>
      </c>
      <c r="G131" s="12" t="s">
        <v>14</v>
      </c>
      <c r="H131" s="13" t="s">
        <v>265</v>
      </c>
      <c r="I131" s="13" t="s">
        <v>27</v>
      </c>
      <c r="J131" s="12" t="s">
        <v>17</v>
      </c>
    </row>
    <row r="132" spans="1:10" ht="67.5">
      <c r="A132" s="16">
        <v>90</v>
      </c>
      <c r="B132" s="136">
        <v>45729</v>
      </c>
      <c r="C132" s="12" t="s">
        <v>250</v>
      </c>
      <c r="D132" s="12" t="s">
        <v>251</v>
      </c>
      <c r="E132" s="12" t="s">
        <v>252</v>
      </c>
      <c r="F132" s="12" t="s">
        <v>26</v>
      </c>
      <c r="G132" s="12" t="s">
        <v>14</v>
      </c>
      <c r="H132" s="13" t="s">
        <v>287</v>
      </c>
      <c r="I132" s="13" t="s">
        <v>288</v>
      </c>
      <c r="J132" s="18" t="s">
        <v>17</v>
      </c>
    </row>
    <row r="133" spans="1:10" ht="175.5">
      <c r="A133" s="16">
        <v>91</v>
      </c>
      <c r="B133" s="136">
        <v>45733</v>
      </c>
      <c r="C133" s="12" t="s">
        <v>49</v>
      </c>
      <c r="D133" s="12" t="s">
        <v>289</v>
      </c>
      <c r="E133" s="12" t="s">
        <v>30</v>
      </c>
      <c r="F133" s="12" t="s">
        <v>31</v>
      </c>
      <c r="G133" s="12" t="s">
        <v>14</v>
      </c>
      <c r="H133" s="13" t="s">
        <v>265</v>
      </c>
      <c r="I133" s="13" t="s">
        <v>290</v>
      </c>
      <c r="J133" s="12" t="s">
        <v>17</v>
      </c>
    </row>
    <row r="134" spans="1:10" ht="148.5">
      <c r="A134" s="16">
        <v>92</v>
      </c>
      <c r="B134" s="136">
        <v>45735</v>
      </c>
      <c r="C134" s="12" t="s">
        <v>250</v>
      </c>
      <c r="D134" s="12" t="s">
        <v>251</v>
      </c>
      <c r="E134" s="12" t="s">
        <v>252</v>
      </c>
      <c r="F134" s="12" t="s">
        <v>26</v>
      </c>
      <c r="G134" s="12" t="s">
        <v>14</v>
      </c>
      <c r="H134" s="13" t="s">
        <v>291</v>
      </c>
      <c r="I134" s="13" t="s">
        <v>292</v>
      </c>
      <c r="J134" s="12" t="s">
        <v>17</v>
      </c>
    </row>
    <row r="135" spans="1:10" ht="40.5">
      <c r="A135" s="16">
        <v>93</v>
      </c>
      <c r="B135" s="136">
        <v>45736</v>
      </c>
      <c r="C135" s="12" t="s">
        <v>119</v>
      </c>
      <c r="D135" s="12" t="s">
        <v>120</v>
      </c>
      <c r="E135" s="12" t="s">
        <v>293</v>
      </c>
      <c r="F135" s="12" t="s">
        <v>26</v>
      </c>
      <c r="G135" s="12" t="s">
        <v>14</v>
      </c>
      <c r="H135" s="13" t="s">
        <v>294</v>
      </c>
      <c r="I135" s="13" t="s">
        <v>295</v>
      </c>
      <c r="J135" s="12" t="s">
        <v>17</v>
      </c>
    </row>
    <row r="136" spans="1:10" ht="67.5">
      <c r="A136" s="16">
        <v>94</v>
      </c>
      <c r="B136" s="136">
        <v>45736</v>
      </c>
      <c r="C136" s="12" t="s">
        <v>296</v>
      </c>
      <c r="D136" s="12" t="s">
        <v>125</v>
      </c>
      <c r="E136" s="12" t="s">
        <v>30</v>
      </c>
      <c r="F136" s="12" t="s">
        <v>31</v>
      </c>
      <c r="G136" s="12" t="s">
        <v>14</v>
      </c>
      <c r="H136" s="13" t="s">
        <v>297</v>
      </c>
      <c r="I136" s="13" t="s">
        <v>298</v>
      </c>
      <c r="J136" s="12" t="s">
        <v>17</v>
      </c>
    </row>
    <row r="137" spans="1:10" ht="54">
      <c r="A137" s="16">
        <v>95</v>
      </c>
      <c r="B137" s="136">
        <v>45737</v>
      </c>
      <c r="C137" s="12" t="s">
        <v>43</v>
      </c>
      <c r="D137" s="12" t="s">
        <v>44</v>
      </c>
      <c r="E137" s="12" t="s">
        <v>45</v>
      </c>
      <c r="F137" s="12" t="s">
        <v>46</v>
      </c>
      <c r="G137" s="12" t="s">
        <v>14</v>
      </c>
      <c r="H137" s="13" t="s">
        <v>299</v>
      </c>
      <c r="I137" s="13" t="s">
        <v>2301</v>
      </c>
      <c r="J137" s="12" t="s">
        <v>17</v>
      </c>
    </row>
    <row r="138" spans="1:10" ht="40.5">
      <c r="A138" s="16">
        <v>96</v>
      </c>
      <c r="B138" s="136">
        <v>45737</v>
      </c>
      <c r="C138" s="12" t="s">
        <v>285</v>
      </c>
      <c r="D138" s="12" t="s">
        <v>286</v>
      </c>
      <c r="E138" s="12" t="s">
        <v>300</v>
      </c>
      <c r="F138" s="12" t="s">
        <v>157</v>
      </c>
      <c r="G138" s="12" t="s">
        <v>14</v>
      </c>
      <c r="H138" s="13" t="s">
        <v>301</v>
      </c>
      <c r="I138" s="13" t="s">
        <v>302</v>
      </c>
      <c r="J138" s="18" t="s">
        <v>17</v>
      </c>
    </row>
    <row r="139" spans="1:10" ht="67.5">
      <c r="A139" s="16">
        <v>97</v>
      </c>
      <c r="B139" s="136">
        <v>45737</v>
      </c>
      <c r="C139" s="12" t="s">
        <v>64</v>
      </c>
      <c r="D139" s="12" t="s">
        <v>106</v>
      </c>
      <c r="E139" s="12" t="s">
        <v>131</v>
      </c>
      <c r="F139" s="12" t="s">
        <v>13</v>
      </c>
      <c r="G139" s="12" t="s">
        <v>14</v>
      </c>
      <c r="H139" s="13" t="s">
        <v>303</v>
      </c>
      <c r="I139" s="13" t="s">
        <v>304</v>
      </c>
      <c r="J139" s="18" t="s">
        <v>17</v>
      </c>
    </row>
    <row r="140" spans="1:10" ht="54">
      <c r="A140" s="16">
        <v>98</v>
      </c>
      <c r="B140" s="136">
        <v>45737</v>
      </c>
      <c r="C140" s="12" t="s">
        <v>305</v>
      </c>
      <c r="D140" s="12" t="s">
        <v>277</v>
      </c>
      <c r="E140" s="12" t="s">
        <v>30</v>
      </c>
      <c r="F140" s="12" t="s">
        <v>13</v>
      </c>
      <c r="G140" s="12" t="s">
        <v>14</v>
      </c>
      <c r="H140" s="13" t="s">
        <v>306</v>
      </c>
      <c r="I140" s="13" t="s">
        <v>307</v>
      </c>
      <c r="J140" s="18" t="s">
        <v>17</v>
      </c>
    </row>
    <row r="141" spans="1:10" ht="108">
      <c r="A141" s="16">
        <v>99</v>
      </c>
      <c r="B141" s="136">
        <v>45740</v>
      </c>
      <c r="C141" s="12" t="s">
        <v>18</v>
      </c>
      <c r="D141" s="12" t="s">
        <v>19</v>
      </c>
      <c r="E141" s="12" t="s">
        <v>30</v>
      </c>
      <c r="F141" s="12" t="s">
        <v>31</v>
      </c>
      <c r="G141" s="12" t="s">
        <v>14</v>
      </c>
      <c r="H141" s="13" t="s">
        <v>265</v>
      </c>
      <c r="I141" s="13" t="s">
        <v>308</v>
      </c>
      <c r="J141" s="12" t="s">
        <v>17</v>
      </c>
    </row>
    <row r="142" spans="1:10" ht="202.5">
      <c r="A142" s="16">
        <v>100</v>
      </c>
      <c r="B142" s="136">
        <v>45740</v>
      </c>
      <c r="C142" s="12" t="s">
        <v>49</v>
      </c>
      <c r="D142" s="12" t="s">
        <v>171</v>
      </c>
      <c r="E142" s="12" t="s">
        <v>30</v>
      </c>
      <c r="F142" s="12" t="s">
        <v>31</v>
      </c>
      <c r="G142" s="12" t="s">
        <v>14</v>
      </c>
      <c r="H142" s="13" t="s">
        <v>299</v>
      </c>
      <c r="I142" s="13" t="s">
        <v>2204</v>
      </c>
      <c r="J142" s="18" t="s">
        <v>17</v>
      </c>
    </row>
    <row r="143" spans="1:10" ht="54">
      <c r="A143" s="16">
        <v>101</v>
      </c>
      <c r="B143" s="136">
        <v>45741</v>
      </c>
      <c r="C143" s="12" t="s">
        <v>309</v>
      </c>
      <c r="D143" s="12" t="s">
        <v>19</v>
      </c>
      <c r="E143" s="12" t="s">
        <v>25</v>
      </c>
      <c r="F143" s="12" t="s">
        <v>13</v>
      </c>
      <c r="G143" s="12" t="s">
        <v>14</v>
      </c>
      <c r="H143" s="13" t="s">
        <v>310</v>
      </c>
      <c r="I143" s="13" t="s">
        <v>311</v>
      </c>
      <c r="J143" s="12" t="s">
        <v>17</v>
      </c>
    </row>
    <row r="144" spans="1:10" ht="81">
      <c r="A144" s="16">
        <v>102</v>
      </c>
      <c r="B144" s="136">
        <v>45741</v>
      </c>
      <c r="C144" s="12" t="s">
        <v>64</v>
      </c>
      <c r="D144" s="12" t="s">
        <v>106</v>
      </c>
      <c r="E144" s="12" t="s">
        <v>30</v>
      </c>
      <c r="F144" s="12" t="s">
        <v>31</v>
      </c>
      <c r="G144" s="12" t="s">
        <v>14</v>
      </c>
      <c r="H144" s="13" t="s">
        <v>312</v>
      </c>
      <c r="I144" s="13" t="s">
        <v>313</v>
      </c>
      <c r="J144" s="12" t="s">
        <v>17</v>
      </c>
    </row>
    <row r="145" spans="1:10" ht="94.5">
      <c r="A145" s="16">
        <v>103</v>
      </c>
      <c r="B145" s="136">
        <v>45742</v>
      </c>
      <c r="C145" s="12" t="s">
        <v>285</v>
      </c>
      <c r="D145" s="12" t="s">
        <v>286</v>
      </c>
      <c r="E145" s="12" t="s">
        <v>300</v>
      </c>
      <c r="F145" s="12" t="s">
        <v>157</v>
      </c>
      <c r="G145" s="12" t="s">
        <v>14</v>
      </c>
      <c r="H145" s="13" t="s">
        <v>312</v>
      </c>
      <c r="I145" s="13" t="s">
        <v>314</v>
      </c>
      <c r="J145" s="12" t="s">
        <v>17</v>
      </c>
    </row>
    <row r="146" spans="1:10" ht="162">
      <c r="A146" s="16">
        <v>104</v>
      </c>
      <c r="B146" s="136">
        <v>45742</v>
      </c>
      <c r="C146" s="12" t="s">
        <v>75</v>
      </c>
      <c r="D146" s="12" t="s">
        <v>76</v>
      </c>
      <c r="E146" s="12" t="s">
        <v>315</v>
      </c>
      <c r="F146" s="12" t="s">
        <v>31</v>
      </c>
      <c r="G146" s="12" t="s">
        <v>14</v>
      </c>
      <c r="H146" s="13" t="s">
        <v>316</v>
      </c>
      <c r="I146" s="13" t="s">
        <v>2205</v>
      </c>
      <c r="J146" s="18" t="s">
        <v>17</v>
      </c>
    </row>
    <row r="147" spans="1:10" ht="67.5">
      <c r="A147" s="16">
        <v>105</v>
      </c>
      <c r="B147" s="136">
        <v>45743</v>
      </c>
      <c r="C147" s="12" t="s">
        <v>28</v>
      </c>
      <c r="D147" s="12" t="s">
        <v>227</v>
      </c>
      <c r="E147" s="12" t="s">
        <v>255</v>
      </c>
      <c r="F147" s="12" t="s">
        <v>161</v>
      </c>
      <c r="G147" s="12" t="s">
        <v>14</v>
      </c>
      <c r="H147" s="13" t="s">
        <v>317</v>
      </c>
      <c r="I147" s="13" t="s">
        <v>318</v>
      </c>
      <c r="J147" s="12" t="s">
        <v>17</v>
      </c>
    </row>
    <row r="148" spans="1:10" ht="54">
      <c r="A148" s="16">
        <v>106</v>
      </c>
      <c r="B148" s="136">
        <v>45744</v>
      </c>
      <c r="C148" s="12" t="s">
        <v>319</v>
      </c>
      <c r="D148" s="12"/>
      <c r="E148" s="12" t="s">
        <v>320</v>
      </c>
      <c r="F148" s="12" t="s">
        <v>321</v>
      </c>
      <c r="G148" s="12" t="s">
        <v>14</v>
      </c>
      <c r="H148" s="13" t="s">
        <v>322</v>
      </c>
      <c r="I148" s="13" t="s">
        <v>323</v>
      </c>
      <c r="J148" s="12" t="s">
        <v>17</v>
      </c>
    </row>
    <row r="149" spans="1:10" ht="27">
      <c r="A149" s="16">
        <v>107</v>
      </c>
      <c r="B149" s="136">
        <v>45748</v>
      </c>
      <c r="C149" s="12" t="s">
        <v>122</v>
      </c>
      <c r="D149" s="12" t="s">
        <v>123</v>
      </c>
      <c r="E149" s="12" t="s">
        <v>20</v>
      </c>
      <c r="F149" s="12" t="s">
        <v>40</v>
      </c>
      <c r="G149" s="12" t="s">
        <v>14</v>
      </c>
      <c r="H149" s="13" t="s">
        <v>324</v>
      </c>
      <c r="I149" s="13" t="s">
        <v>325</v>
      </c>
      <c r="J149" s="12" t="s">
        <v>17</v>
      </c>
    </row>
    <row r="150" spans="1:10" ht="67.5">
      <c r="A150" s="16">
        <v>108</v>
      </c>
      <c r="B150" s="136">
        <v>45749</v>
      </c>
      <c r="C150" s="12" t="s">
        <v>119</v>
      </c>
      <c r="D150" s="12" t="s">
        <v>120</v>
      </c>
      <c r="E150" s="12" t="s">
        <v>30</v>
      </c>
      <c r="F150" s="12" t="s">
        <v>31</v>
      </c>
      <c r="G150" s="12" t="s">
        <v>14</v>
      </c>
      <c r="H150" s="13" t="s">
        <v>326</v>
      </c>
      <c r="I150" s="13" t="s">
        <v>327</v>
      </c>
      <c r="J150" s="12" t="s">
        <v>17</v>
      </c>
    </row>
    <row r="151" spans="1:10" ht="121.5">
      <c r="A151" s="16">
        <v>109</v>
      </c>
      <c r="B151" s="136">
        <v>45749</v>
      </c>
      <c r="C151" s="12" t="s">
        <v>328</v>
      </c>
      <c r="D151" s="12" t="s">
        <v>329</v>
      </c>
      <c r="E151" s="357" t="s">
        <v>330</v>
      </c>
      <c r="F151" s="12" t="s">
        <v>26</v>
      </c>
      <c r="G151" s="12" t="s">
        <v>53</v>
      </c>
      <c r="H151" s="13" t="s">
        <v>331</v>
      </c>
      <c r="I151" s="13" t="s">
        <v>332</v>
      </c>
      <c r="J151" s="18" t="s">
        <v>17</v>
      </c>
    </row>
    <row r="152" spans="1:10" ht="94.5">
      <c r="A152" s="16">
        <v>110</v>
      </c>
      <c r="B152" s="136">
        <v>45750</v>
      </c>
      <c r="C152" s="12" t="s">
        <v>305</v>
      </c>
      <c r="D152" s="12" t="s">
        <v>277</v>
      </c>
      <c r="E152" s="12" t="s">
        <v>30</v>
      </c>
      <c r="F152" s="12" t="s">
        <v>321</v>
      </c>
      <c r="G152" s="12" t="s">
        <v>14</v>
      </c>
      <c r="H152" s="13" t="s">
        <v>312</v>
      </c>
      <c r="I152" s="13" t="s">
        <v>333</v>
      </c>
      <c r="J152" s="12" t="s">
        <v>17</v>
      </c>
    </row>
    <row r="153" spans="1:10" ht="27">
      <c r="A153" s="16">
        <v>111</v>
      </c>
      <c r="B153" s="136">
        <v>45750</v>
      </c>
      <c r="C153" s="12" t="s">
        <v>56</v>
      </c>
      <c r="D153" s="12" t="s">
        <v>218</v>
      </c>
      <c r="E153" s="12" t="s">
        <v>58</v>
      </c>
      <c r="F153" s="12" t="s">
        <v>13</v>
      </c>
      <c r="G153" s="12" t="s">
        <v>14</v>
      </c>
      <c r="H153" s="13" t="s">
        <v>324</v>
      </c>
      <c r="I153" s="13" t="s">
        <v>325</v>
      </c>
      <c r="J153" s="12" t="s">
        <v>17</v>
      </c>
    </row>
    <row r="154" spans="1:10" ht="27">
      <c r="A154" s="16">
        <v>112</v>
      </c>
      <c r="B154" s="136">
        <v>45754</v>
      </c>
      <c r="C154" s="12" t="s">
        <v>92</v>
      </c>
      <c r="D154" s="12" t="s">
        <v>93</v>
      </c>
      <c r="E154" s="12" t="s">
        <v>94</v>
      </c>
      <c r="F154" s="12" t="s">
        <v>334</v>
      </c>
      <c r="G154" s="12" t="s">
        <v>14</v>
      </c>
      <c r="H154" s="13" t="s">
        <v>324</v>
      </c>
      <c r="I154" s="13" t="s">
        <v>325</v>
      </c>
      <c r="J154" s="12" t="s">
        <v>17</v>
      </c>
    </row>
    <row r="155" spans="1:10" ht="27">
      <c r="A155" s="16">
        <v>113</v>
      </c>
      <c r="B155" s="136">
        <v>45754</v>
      </c>
      <c r="C155" s="12" t="s">
        <v>43</v>
      </c>
      <c r="D155" s="12" t="s">
        <v>44</v>
      </c>
      <c r="E155" s="12" t="s">
        <v>45</v>
      </c>
      <c r="F155" s="12" t="s">
        <v>46</v>
      </c>
      <c r="G155" s="12" t="s">
        <v>14</v>
      </c>
      <c r="H155" s="13" t="s">
        <v>324</v>
      </c>
      <c r="I155" s="13" t="s">
        <v>325</v>
      </c>
      <c r="J155" s="12" t="s">
        <v>17</v>
      </c>
    </row>
    <row r="156" spans="1:10" ht="27">
      <c r="A156" s="16">
        <v>114</v>
      </c>
      <c r="B156" s="136">
        <v>45754</v>
      </c>
      <c r="C156" s="12" t="s">
        <v>99</v>
      </c>
      <c r="D156" s="12" t="s">
        <v>97</v>
      </c>
      <c r="E156" s="12" t="s">
        <v>100</v>
      </c>
      <c r="F156" s="12" t="s">
        <v>334</v>
      </c>
      <c r="G156" s="12" t="s">
        <v>14</v>
      </c>
      <c r="H156" s="13" t="s">
        <v>324</v>
      </c>
      <c r="I156" s="13" t="s">
        <v>325</v>
      </c>
      <c r="J156" s="12" t="s">
        <v>17</v>
      </c>
    </row>
    <row r="157" spans="1:10" ht="108">
      <c r="A157" s="16">
        <v>115</v>
      </c>
      <c r="B157" s="136">
        <v>45756</v>
      </c>
      <c r="C157" s="12" t="s">
        <v>102</v>
      </c>
      <c r="D157" s="12" t="s">
        <v>103</v>
      </c>
      <c r="E157" s="12" t="s">
        <v>39</v>
      </c>
      <c r="F157" s="12" t="s">
        <v>40</v>
      </c>
      <c r="G157" s="12" t="s">
        <v>14</v>
      </c>
      <c r="H157" s="13" t="s">
        <v>335</v>
      </c>
      <c r="I157" s="13" t="s">
        <v>336</v>
      </c>
      <c r="J157" s="18" t="s">
        <v>17</v>
      </c>
    </row>
    <row r="158" spans="1:10" ht="27">
      <c r="A158" s="16">
        <v>116</v>
      </c>
      <c r="B158" s="136">
        <v>45756</v>
      </c>
      <c r="C158" s="12" t="s">
        <v>10</v>
      </c>
      <c r="D158" s="12" t="s">
        <v>278</v>
      </c>
      <c r="E158" s="12" t="s">
        <v>12</v>
      </c>
      <c r="F158" s="12" t="s">
        <v>13</v>
      </c>
      <c r="G158" s="12" t="s">
        <v>14</v>
      </c>
      <c r="H158" s="13" t="s">
        <v>324</v>
      </c>
      <c r="I158" s="13" t="s">
        <v>325</v>
      </c>
      <c r="J158" s="12" t="s">
        <v>17</v>
      </c>
    </row>
    <row r="159" spans="1:10" ht="27">
      <c r="A159" s="16">
        <v>117</v>
      </c>
      <c r="B159" s="136">
        <v>45756</v>
      </c>
      <c r="C159" s="12" t="s">
        <v>82</v>
      </c>
      <c r="D159" s="12" t="s">
        <v>83</v>
      </c>
      <c r="E159" s="12" t="s">
        <v>58</v>
      </c>
      <c r="F159" s="12" t="s">
        <v>26</v>
      </c>
      <c r="G159" s="12" t="s">
        <v>14</v>
      </c>
      <c r="H159" s="13" t="s">
        <v>324</v>
      </c>
      <c r="I159" s="13" t="s">
        <v>325</v>
      </c>
      <c r="J159" s="12" t="s">
        <v>17</v>
      </c>
    </row>
    <row r="160" spans="1:10" ht="27">
      <c r="A160" s="16">
        <v>118</v>
      </c>
      <c r="B160" s="136">
        <v>45756</v>
      </c>
      <c r="C160" s="12" t="s">
        <v>61</v>
      </c>
      <c r="D160" s="12" t="s">
        <v>277</v>
      </c>
      <c r="E160" s="12" t="s">
        <v>30</v>
      </c>
      <c r="F160" s="12" t="s">
        <v>31</v>
      </c>
      <c r="G160" s="12" t="s">
        <v>14</v>
      </c>
      <c r="H160" s="13" t="s">
        <v>324</v>
      </c>
      <c r="I160" s="13" t="s">
        <v>325</v>
      </c>
      <c r="J160" s="12" t="s">
        <v>17</v>
      </c>
    </row>
    <row r="161" spans="1:10" ht="27">
      <c r="A161" s="16">
        <v>119</v>
      </c>
      <c r="B161" s="136">
        <v>45756</v>
      </c>
      <c r="C161" s="12" t="s">
        <v>164</v>
      </c>
      <c r="D161" s="12" t="s">
        <v>165</v>
      </c>
      <c r="E161" s="12" t="s">
        <v>153</v>
      </c>
      <c r="F161" s="12" t="s">
        <v>26</v>
      </c>
      <c r="G161" s="12" t="s">
        <v>14</v>
      </c>
      <c r="H161" s="13" t="s">
        <v>324</v>
      </c>
      <c r="I161" s="13" t="s">
        <v>325</v>
      </c>
      <c r="J161" s="12" t="s">
        <v>17</v>
      </c>
    </row>
    <row r="162" spans="1:10" ht="27">
      <c r="A162" s="16">
        <v>120</v>
      </c>
      <c r="B162" s="136">
        <v>45756</v>
      </c>
      <c r="C162" s="12" t="s">
        <v>89</v>
      </c>
      <c r="D162" s="12" t="s">
        <v>90</v>
      </c>
      <c r="E162" s="12" t="s">
        <v>12</v>
      </c>
      <c r="F162" s="12" t="s">
        <v>91</v>
      </c>
      <c r="G162" s="12" t="s">
        <v>14</v>
      </c>
      <c r="H162" s="13" t="s">
        <v>324</v>
      </c>
      <c r="I162" s="13" t="s">
        <v>325</v>
      </c>
      <c r="J162" s="12" t="s">
        <v>17</v>
      </c>
    </row>
    <row r="163" spans="1:10" ht="148.5">
      <c r="A163" s="16">
        <v>121</v>
      </c>
      <c r="B163" s="136">
        <v>45757</v>
      </c>
      <c r="C163" s="12" t="s">
        <v>102</v>
      </c>
      <c r="D163" s="12" t="s">
        <v>103</v>
      </c>
      <c r="E163" s="12" t="s">
        <v>39</v>
      </c>
      <c r="F163" s="12" t="s">
        <v>40</v>
      </c>
      <c r="G163" s="12" t="s">
        <v>14</v>
      </c>
      <c r="H163" s="13" t="s">
        <v>337</v>
      </c>
      <c r="I163" s="13" t="s">
        <v>338</v>
      </c>
      <c r="J163" s="18" t="s">
        <v>17</v>
      </c>
    </row>
    <row r="164" spans="1:10" ht="67.5">
      <c r="A164" s="16">
        <v>122</v>
      </c>
      <c r="B164" s="136">
        <v>45757</v>
      </c>
      <c r="C164" s="12" t="s">
        <v>159</v>
      </c>
      <c r="D164" s="12" t="s">
        <v>212</v>
      </c>
      <c r="E164" s="12" t="s">
        <v>30</v>
      </c>
      <c r="F164" s="12" t="s">
        <v>161</v>
      </c>
      <c r="G164" s="12" t="s">
        <v>14</v>
      </c>
      <c r="H164" s="13" t="s">
        <v>324</v>
      </c>
      <c r="I164" s="13" t="s">
        <v>339</v>
      </c>
      <c r="J164" s="12" t="s">
        <v>17</v>
      </c>
    </row>
    <row r="165" spans="1:10" ht="27">
      <c r="A165" s="16">
        <v>123</v>
      </c>
      <c r="B165" s="136">
        <v>45758</v>
      </c>
      <c r="C165" s="12" t="s">
        <v>23</v>
      </c>
      <c r="D165" s="12" t="s">
        <v>24</v>
      </c>
      <c r="E165" s="12" t="s">
        <v>25</v>
      </c>
      <c r="F165" s="12" t="s">
        <v>26</v>
      </c>
      <c r="G165" s="12" t="s">
        <v>14</v>
      </c>
      <c r="H165" s="13" t="s">
        <v>324</v>
      </c>
      <c r="I165" s="13" t="s">
        <v>325</v>
      </c>
      <c r="J165" s="12" t="s">
        <v>17</v>
      </c>
    </row>
    <row r="166" spans="1:10" ht="27">
      <c r="A166" s="16">
        <v>124</v>
      </c>
      <c r="B166" s="136">
        <v>45758</v>
      </c>
      <c r="C166" s="12" t="s">
        <v>37</v>
      </c>
      <c r="D166" s="12" t="s">
        <v>38</v>
      </c>
      <c r="E166" s="12" t="s">
        <v>30</v>
      </c>
      <c r="F166" s="12" t="s">
        <v>31</v>
      </c>
      <c r="G166" s="12" t="s">
        <v>14</v>
      </c>
      <c r="H166" s="13" t="s">
        <v>324</v>
      </c>
      <c r="I166" s="13" t="s">
        <v>27</v>
      </c>
      <c r="J166" s="12" t="s">
        <v>17</v>
      </c>
    </row>
    <row r="167" spans="1:10" ht="27">
      <c r="A167" s="16">
        <v>125</v>
      </c>
      <c r="B167" s="136">
        <v>45758</v>
      </c>
      <c r="C167" s="12" t="s">
        <v>109</v>
      </c>
      <c r="D167" s="12" t="s">
        <v>198</v>
      </c>
      <c r="E167" s="12" t="s">
        <v>111</v>
      </c>
      <c r="F167" s="12" t="s">
        <v>40</v>
      </c>
      <c r="G167" s="12" t="s">
        <v>14</v>
      </c>
      <c r="H167" s="13" t="s">
        <v>324</v>
      </c>
      <c r="I167" s="13" t="s">
        <v>325</v>
      </c>
      <c r="J167" s="12" t="s">
        <v>17</v>
      </c>
    </row>
    <row r="168" spans="1:10" ht="67.5">
      <c r="A168" s="16">
        <v>126</v>
      </c>
      <c r="B168" s="136">
        <v>45758</v>
      </c>
      <c r="C168" s="12" t="s">
        <v>28</v>
      </c>
      <c r="D168" s="12" t="s">
        <v>227</v>
      </c>
      <c r="E168" s="12" t="s">
        <v>30</v>
      </c>
      <c r="F168" s="12" t="s">
        <v>31</v>
      </c>
      <c r="G168" s="12" t="s">
        <v>14</v>
      </c>
      <c r="H168" s="13" t="s">
        <v>324</v>
      </c>
      <c r="I168" s="13" t="s">
        <v>340</v>
      </c>
      <c r="J168" s="18" t="s">
        <v>17</v>
      </c>
    </row>
    <row r="169" spans="1:10" ht="81">
      <c r="A169" s="16">
        <v>127</v>
      </c>
      <c r="B169" s="136">
        <v>45761</v>
      </c>
      <c r="C169" s="12" t="s">
        <v>195</v>
      </c>
      <c r="D169" s="357" t="s">
        <v>196</v>
      </c>
      <c r="E169" s="12" t="s">
        <v>30</v>
      </c>
      <c r="F169" s="12" t="s">
        <v>31</v>
      </c>
      <c r="G169" s="12" t="s">
        <v>14</v>
      </c>
      <c r="H169" s="13" t="s">
        <v>324</v>
      </c>
      <c r="I169" s="13" t="s">
        <v>341</v>
      </c>
      <c r="J169" s="12" t="s">
        <v>17</v>
      </c>
    </row>
    <row r="170" spans="1:10" ht="27">
      <c r="A170" s="16">
        <v>128</v>
      </c>
      <c r="B170" s="136">
        <v>45762</v>
      </c>
      <c r="C170" s="12" t="s">
        <v>79</v>
      </c>
      <c r="D170" s="12" t="s">
        <v>80</v>
      </c>
      <c r="E170" s="12" t="s">
        <v>81</v>
      </c>
      <c r="F170" s="12" t="s">
        <v>40</v>
      </c>
      <c r="G170" s="12" t="s">
        <v>14</v>
      </c>
      <c r="H170" s="13" t="s">
        <v>324</v>
      </c>
      <c r="I170" s="13" t="s">
        <v>27</v>
      </c>
      <c r="J170" s="12" t="s">
        <v>17</v>
      </c>
    </row>
    <row r="171" spans="1:10" ht="135">
      <c r="A171" s="16">
        <v>129</v>
      </c>
      <c r="B171" s="136">
        <v>45762</v>
      </c>
      <c r="C171" s="12" t="s">
        <v>35</v>
      </c>
      <c r="D171" s="12" t="s">
        <v>36</v>
      </c>
      <c r="E171" s="12" t="s">
        <v>30</v>
      </c>
      <c r="F171" s="12" t="s">
        <v>31</v>
      </c>
      <c r="G171" s="12" t="s">
        <v>14</v>
      </c>
      <c r="H171" s="13" t="s">
        <v>324</v>
      </c>
      <c r="I171" s="13" t="s">
        <v>2173</v>
      </c>
      <c r="J171" s="18" t="s">
        <v>17</v>
      </c>
    </row>
    <row r="172" spans="1:10" ht="27">
      <c r="A172" s="16">
        <v>130</v>
      </c>
      <c r="B172" s="136">
        <v>45762</v>
      </c>
      <c r="C172" s="12" t="s">
        <v>33</v>
      </c>
      <c r="D172" s="12" t="s">
        <v>34</v>
      </c>
      <c r="E172" s="12" t="s">
        <v>30</v>
      </c>
      <c r="F172" s="12" t="s">
        <v>161</v>
      </c>
      <c r="G172" s="12" t="s">
        <v>14</v>
      </c>
      <c r="H172" s="13" t="s">
        <v>324</v>
      </c>
      <c r="I172" s="13" t="s">
        <v>27</v>
      </c>
      <c r="J172" s="12" t="s">
        <v>17</v>
      </c>
    </row>
    <row r="173" spans="1:10" ht="27">
      <c r="A173" s="16">
        <v>131</v>
      </c>
      <c r="B173" s="136">
        <v>45762</v>
      </c>
      <c r="C173" s="12" t="s">
        <v>162</v>
      </c>
      <c r="D173" s="12" t="s">
        <v>163</v>
      </c>
      <c r="E173" s="12" t="s">
        <v>30</v>
      </c>
      <c r="F173" s="12" t="s">
        <v>247</v>
      </c>
      <c r="G173" s="12" t="s">
        <v>14</v>
      </c>
      <c r="H173" s="13" t="s">
        <v>324</v>
      </c>
      <c r="I173" s="13" t="s">
        <v>27</v>
      </c>
      <c r="J173" s="12" t="s">
        <v>17</v>
      </c>
    </row>
    <row r="174" spans="1:10" ht="148.5">
      <c r="A174" s="16">
        <v>132</v>
      </c>
      <c r="B174" s="136">
        <v>45764</v>
      </c>
      <c r="C174" s="12" t="s">
        <v>159</v>
      </c>
      <c r="D174" s="12" t="s">
        <v>212</v>
      </c>
      <c r="E174" s="12" t="s">
        <v>178</v>
      </c>
      <c r="F174" s="12" t="s">
        <v>161</v>
      </c>
      <c r="G174" s="12" t="s">
        <v>14</v>
      </c>
      <c r="H174" s="13" t="s">
        <v>342</v>
      </c>
      <c r="I174" s="13" t="s">
        <v>343</v>
      </c>
      <c r="J174" s="18" t="s">
        <v>17</v>
      </c>
    </row>
    <row r="175" spans="1:10" ht="81">
      <c r="A175" s="16">
        <v>133</v>
      </c>
      <c r="B175" s="136">
        <v>45764</v>
      </c>
      <c r="C175" s="12" t="s">
        <v>269</v>
      </c>
      <c r="D175" s="12" t="s">
        <v>76</v>
      </c>
      <c r="E175" s="12" t="s">
        <v>189</v>
      </c>
      <c r="F175" s="12" t="s">
        <v>271</v>
      </c>
      <c r="G175" s="12" t="s">
        <v>14</v>
      </c>
      <c r="H175" s="13" t="s">
        <v>324</v>
      </c>
      <c r="I175" s="13" t="s">
        <v>344</v>
      </c>
      <c r="J175" s="18" t="s">
        <v>17</v>
      </c>
    </row>
    <row r="176" spans="1:10" ht="27">
      <c r="A176" s="16">
        <v>134</v>
      </c>
      <c r="B176" s="136">
        <v>45764</v>
      </c>
      <c r="C176" s="12" t="s">
        <v>75</v>
      </c>
      <c r="D176" s="12" t="s">
        <v>76</v>
      </c>
      <c r="E176" s="12" t="s">
        <v>30</v>
      </c>
      <c r="F176" s="12" t="s">
        <v>31</v>
      </c>
      <c r="G176" s="12" t="s">
        <v>14</v>
      </c>
      <c r="H176" s="13" t="s">
        <v>324</v>
      </c>
      <c r="I176" s="13" t="s">
        <v>27</v>
      </c>
      <c r="J176" s="12" t="s">
        <v>17</v>
      </c>
    </row>
    <row r="177" spans="1:10" ht="121.5">
      <c r="A177" s="16">
        <v>135</v>
      </c>
      <c r="B177" s="136">
        <v>45764</v>
      </c>
      <c r="C177" s="12" t="s">
        <v>296</v>
      </c>
      <c r="D177" s="12" t="s">
        <v>125</v>
      </c>
      <c r="E177" s="12" t="s">
        <v>225</v>
      </c>
      <c r="F177" s="12" t="s">
        <v>345</v>
      </c>
      <c r="G177" s="12" t="s">
        <v>14</v>
      </c>
      <c r="H177" s="13" t="s">
        <v>346</v>
      </c>
      <c r="I177" s="13" t="s">
        <v>347</v>
      </c>
      <c r="J177" s="18" t="s">
        <v>17</v>
      </c>
    </row>
    <row r="178" spans="1:10" ht="148.5">
      <c r="A178" s="16">
        <v>136</v>
      </c>
      <c r="B178" s="136">
        <v>45765</v>
      </c>
      <c r="C178" s="12" t="s">
        <v>56</v>
      </c>
      <c r="D178" s="12" t="s">
        <v>348</v>
      </c>
      <c r="E178" s="12" t="s">
        <v>58</v>
      </c>
      <c r="F178" s="12" t="s">
        <v>13</v>
      </c>
      <c r="G178" s="12" t="s">
        <v>14</v>
      </c>
      <c r="H178" s="13" t="s">
        <v>349</v>
      </c>
      <c r="I178" s="13" t="s">
        <v>350</v>
      </c>
      <c r="J178" s="18" t="s">
        <v>17</v>
      </c>
    </row>
    <row r="179" spans="1:10" ht="54">
      <c r="A179" s="16">
        <v>137</v>
      </c>
      <c r="B179" s="136">
        <v>45770</v>
      </c>
      <c r="C179" s="12" t="s">
        <v>43</v>
      </c>
      <c r="D179" s="12" t="s">
        <v>44</v>
      </c>
      <c r="E179" s="12" t="s">
        <v>45</v>
      </c>
      <c r="F179" s="12" t="s">
        <v>46</v>
      </c>
      <c r="G179" s="12" t="s">
        <v>14</v>
      </c>
      <c r="H179" s="13" t="s">
        <v>351</v>
      </c>
      <c r="I179" s="13" t="s">
        <v>352</v>
      </c>
      <c r="J179" s="12" t="s">
        <v>17</v>
      </c>
    </row>
    <row r="180" spans="1:10" ht="40.5">
      <c r="A180" s="16">
        <v>138</v>
      </c>
      <c r="B180" s="136">
        <v>45770</v>
      </c>
      <c r="C180" s="12" t="s">
        <v>28</v>
      </c>
      <c r="D180" s="12" t="s">
        <v>227</v>
      </c>
      <c r="E180" s="12" t="s">
        <v>58</v>
      </c>
      <c r="F180" s="12" t="s">
        <v>161</v>
      </c>
      <c r="G180" s="12" t="s">
        <v>14</v>
      </c>
      <c r="H180" s="13" t="s">
        <v>353</v>
      </c>
      <c r="I180" s="13" t="s">
        <v>354</v>
      </c>
      <c r="J180" s="12" t="s">
        <v>17</v>
      </c>
    </row>
    <row r="181" spans="1:10" ht="135">
      <c r="A181" s="16">
        <v>139</v>
      </c>
      <c r="B181" s="136">
        <v>45776</v>
      </c>
      <c r="C181" s="12" t="s">
        <v>18</v>
      </c>
      <c r="D181" s="12" t="s">
        <v>19</v>
      </c>
      <c r="E181" s="12" t="s">
        <v>30</v>
      </c>
      <c r="F181" s="12" t="s">
        <v>31</v>
      </c>
      <c r="G181" s="12" t="s">
        <v>14</v>
      </c>
      <c r="H181" s="13" t="s">
        <v>355</v>
      </c>
      <c r="I181" s="13" t="s">
        <v>2217</v>
      </c>
      <c r="J181" s="18" t="s">
        <v>17</v>
      </c>
    </row>
    <row r="182" spans="1:10" ht="108">
      <c r="A182" s="16">
        <v>140</v>
      </c>
      <c r="B182" s="136">
        <v>45776</v>
      </c>
      <c r="C182" s="12" t="s">
        <v>159</v>
      </c>
      <c r="D182" s="12" t="s">
        <v>212</v>
      </c>
      <c r="E182" s="12" t="s">
        <v>178</v>
      </c>
      <c r="F182" s="12" t="s">
        <v>161</v>
      </c>
      <c r="G182" s="12" t="s">
        <v>14</v>
      </c>
      <c r="H182" s="13" t="s">
        <v>356</v>
      </c>
      <c r="I182" s="13" t="s">
        <v>2138</v>
      </c>
      <c r="J182" s="18" t="s">
        <v>17</v>
      </c>
    </row>
    <row r="183" spans="1:10" ht="54">
      <c r="A183" s="16">
        <v>141</v>
      </c>
      <c r="B183" s="136">
        <v>45776</v>
      </c>
      <c r="C183" s="12" t="s">
        <v>269</v>
      </c>
      <c r="D183" s="12" t="s">
        <v>76</v>
      </c>
      <c r="E183" s="12" t="s">
        <v>189</v>
      </c>
      <c r="F183" s="12" t="s">
        <v>271</v>
      </c>
      <c r="G183" s="12" t="s">
        <v>14</v>
      </c>
      <c r="H183" s="13" t="s">
        <v>356</v>
      </c>
      <c r="I183" s="13" t="s">
        <v>357</v>
      </c>
      <c r="J183" s="12" t="s">
        <v>17</v>
      </c>
    </row>
    <row r="184" spans="1:10" ht="27">
      <c r="A184" s="16">
        <v>142</v>
      </c>
      <c r="B184" s="136">
        <v>45785</v>
      </c>
      <c r="C184" s="12" t="s">
        <v>37</v>
      </c>
      <c r="D184" s="12" t="s">
        <v>38</v>
      </c>
      <c r="E184" s="12" t="s">
        <v>30</v>
      </c>
      <c r="F184" s="12" t="s">
        <v>31</v>
      </c>
      <c r="G184" s="12" t="s">
        <v>14</v>
      </c>
      <c r="H184" s="13" t="s">
        <v>358</v>
      </c>
      <c r="I184" s="13" t="s">
        <v>27</v>
      </c>
      <c r="J184" s="12" t="s">
        <v>17</v>
      </c>
    </row>
    <row r="185" spans="1:10" ht="27">
      <c r="A185" s="16">
        <v>143</v>
      </c>
      <c r="B185" s="136">
        <v>45785</v>
      </c>
      <c r="C185" s="12" t="s">
        <v>109</v>
      </c>
      <c r="D185" s="12" t="s">
        <v>198</v>
      </c>
      <c r="E185" s="12" t="s">
        <v>111</v>
      </c>
      <c r="F185" s="12" t="s">
        <v>40</v>
      </c>
      <c r="G185" s="12" t="s">
        <v>14</v>
      </c>
      <c r="H185" s="13" t="s">
        <v>358</v>
      </c>
      <c r="I185" s="13" t="s">
        <v>27</v>
      </c>
      <c r="J185" s="12" t="s">
        <v>17</v>
      </c>
    </row>
    <row r="186" spans="1:10" ht="27">
      <c r="A186" s="16">
        <v>144</v>
      </c>
      <c r="B186" s="136">
        <v>45785</v>
      </c>
      <c r="C186" s="12" t="s">
        <v>23</v>
      </c>
      <c r="D186" s="12" t="s">
        <v>24</v>
      </c>
      <c r="E186" s="12" t="s">
        <v>25</v>
      </c>
      <c r="F186" s="12" t="s">
        <v>26</v>
      </c>
      <c r="G186" s="12" t="s">
        <v>14</v>
      </c>
      <c r="H186" s="13" t="s">
        <v>358</v>
      </c>
      <c r="I186" s="13" t="s">
        <v>27</v>
      </c>
      <c r="J186" s="12" t="s">
        <v>17</v>
      </c>
    </row>
    <row r="187" spans="1:10" ht="27">
      <c r="A187" s="16">
        <v>145</v>
      </c>
      <c r="B187" s="136">
        <v>45786</v>
      </c>
      <c r="C187" s="12" t="s">
        <v>92</v>
      </c>
      <c r="D187" s="12" t="s">
        <v>93</v>
      </c>
      <c r="E187" s="12" t="s">
        <v>94</v>
      </c>
      <c r="F187" s="12" t="s">
        <v>95</v>
      </c>
      <c r="G187" s="12" t="s">
        <v>14</v>
      </c>
      <c r="H187" s="13" t="s">
        <v>358</v>
      </c>
      <c r="I187" s="13" t="s">
        <v>27</v>
      </c>
      <c r="J187" s="12" t="s">
        <v>17</v>
      </c>
    </row>
    <row r="188" spans="1:10" ht="27">
      <c r="A188" s="16">
        <v>146</v>
      </c>
      <c r="B188" s="136">
        <v>45786</v>
      </c>
      <c r="C188" s="12" t="s">
        <v>43</v>
      </c>
      <c r="D188" s="12" t="s">
        <v>44</v>
      </c>
      <c r="E188" s="12" t="s">
        <v>45</v>
      </c>
      <c r="F188" s="12" t="s">
        <v>46</v>
      </c>
      <c r="G188" s="12" t="s">
        <v>14</v>
      </c>
      <c r="H188" s="13" t="s">
        <v>358</v>
      </c>
      <c r="I188" s="13" t="s">
        <v>27</v>
      </c>
      <c r="J188" s="12" t="s">
        <v>17</v>
      </c>
    </row>
    <row r="189" spans="1:10" ht="67.5">
      <c r="A189" s="16">
        <v>147</v>
      </c>
      <c r="B189" s="136">
        <v>45786</v>
      </c>
      <c r="C189" s="12" t="s">
        <v>99</v>
      </c>
      <c r="D189" s="12" t="s">
        <v>97</v>
      </c>
      <c r="E189" s="12" t="s">
        <v>100</v>
      </c>
      <c r="F189" s="12" t="s">
        <v>101</v>
      </c>
      <c r="G189" s="12" t="s">
        <v>14</v>
      </c>
      <c r="H189" s="13" t="s">
        <v>359</v>
      </c>
      <c r="I189" s="13" t="s">
        <v>360</v>
      </c>
      <c r="J189" s="12" t="s">
        <v>17</v>
      </c>
    </row>
    <row r="190" spans="1:10" ht="40.5">
      <c r="A190" s="16">
        <v>148</v>
      </c>
      <c r="B190" s="136">
        <v>45789</v>
      </c>
      <c r="C190" s="12" t="s">
        <v>28</v>
      </c>
      <c r="D190" s="12" t="s">
        <v>227</v>
      </c>
      <c r="E190" s="12" t="s">
        <v>30</v>
      </c>
      <c r="F190" s="12" t="s">
        <v>31</v>
      </c>
      <c r="G190" s="12" t="s">
        <v>14</v>
      </c>
      <c r="H190" s="13" t="s">
        <v>358</v>
      </c>
      <c r="I190" s="13" t="s">
        <v>361</v>
      </c>
      <c r="J190" s="12" t="s">
        <v>17</v>
      </c>
    </row>
    <row r="191" spans="1:10" ht="27">
      <c r="A191" s="16">
        <v>149</v>
      </c>
      <c r="B191" s="136">
        <v>45791</v>
      </c>
      <c r="C191" s="12" t="s">
        <v>102</v>
      </c>
      <c r="D191" s="12" t="s">
        <v>103</v>
      </c>
      <c r="E191" s="12" t="s">
        <v>30</v>
      </c>
      <c r="F191" s="12" t="s">
        <v>31</v>
      </c>
      <c r="G191" s="12" t="s">
        <v>14</v>
      </c>
      <c r="H191" s="13" t="s">
        <v>358</v>
      </c>
      <c r="I191" s="13" t="s">
        <v>325</v>
      </c>
      <c r="J191" s="12" t="s">
        <v>17</v>
      </c>
    </row>
    <row r="192" spans="1:10" ht="81">
      <c r="A192" s="16">
        <v>150</v>
      </c>
      <c r="B192" s="136">
        <v>45791</v>
      </c>
      <c r="C192" s="12" t="s">
        <v>35</v>
      </c>
      <c r="D192" s="12" t="s">
        <v>36</v>
      </c>
      <c r="E192" s="12" t="s">
        <v>134</v>
      </c>
      <c r="F192" s="12" t="s">
        <v>26</v>
      </c>
      <c r="G192" s="12" t="s">
        <v>14</v>
      </c>
      <c r="H192" s="13" t="s">
        <v>362</v>
      </c>
      <c r="I192" s="13" t="s">
        <v>363</v>
      </c>
      <c r="J192" s="12" t="s">
        <v>17</v>
      </c>
    </row>
    <row r="193" spans="1:10" ht="27">
      <c r="A193" s="16">
        <v>151</v>
      </c>
      <c r="B193" s="136">
        <v>45792</v>
      </c>
      <c r="C193" s="12" t="s">
        <v>79</v>
      </c>
      <c r="D193" s="12" t="s">
        <v>80</v>
      </c>
      <c r="E193" s="12" t="s">
        <v>81</v>
      </c>
      <c r="F193" s="12" t="s">
        <v>13</v>
      </c>
      <c r="G193" s="12" t="s">
        <v>14</v>
      </c>
      <c r="H193" s="13" t="s">
        <v>358</v>
      </c>
      <c r="I193" s="13" t="s">
        <v>27</v>
      </c>
      <c r="J193" s="12" t="s">
        <v>17</v>
      </c>
    </row>
    <row r="194" spans="1:10" ht="27">
      <c r="A194" s="16">
        <v>152</v>
      </c>
      <c r="B194" s="136">
        <v>45792</v>
      </c>
      <c r="C194" s="12" t="s">
        <v>56</v>
      </c>
      <c r="D194" s="12" t="s">
        <v>218</v>
      </c>
      <c r="E194" s="12" t="s">
        <v>58</v>
      </c>
      <c r="F194" s="12" t="s">
        <v>13</v>
      </c>
      <c r="G194" s="12" t="s">
        <v>14</v>
      </c>
      <c r="H194" s="13" t="s">
        <v>358</v>
      </c>
      <c r="I194" s="13" t="s">
        <v>27</v>
      </c>
      <c r="J194" s="12" t="s">
        <v>17</v>
      </c>
    </row>
    <row r="195" spans="1:10" ht="27">
      <c r="A195" s="16">
        <v>153</v>
      </c>
      <c r="B195" s="136">
        <v>45792</v>
      </c>
      <c r="C195" s="12" t="s">
        <v>82</v>
      </c>
      <c r="D195" s="12" t="s">
        <v>83</v>
      </c>
      <c r="E195" s="12" t="s">
        <v>58</v>
      </c>
      <c r="F195" s="12" t="s">
        <v>26</v>
      </c>
      <c r="G195" s="12" t="s">
        <v>14</v>
      </c>
      <c r="H195" s="13" t="s">
        <v>358</v>
      </c>
      <c r="I195" s="13" t="s">
        <v>27</v>
      </c>
      <c r="J195" s="12" t="s">
        <v>17</v>
      </c>
    </row>
    <row r="196" spans="1:10" ht="27">
      <c r="A196" s="16">
        <v>154</v>
      </c>
      <c r="B196" s="136">
        <v>45792</v>
      </c>
      <c r="C196" s="12" t="s">
        <v>61</v>
      </c>
      <c r="D196" s="12" t="s">
        <v>277</v>
      </c>
      <c r="E196" s="12" t="s">
        <v>30</v>
      </c>
      <c r="F196" s="12" t="s">
        <v>31</v>
      </c>
      <c r="G196" s="12" t="s">
        <v>14</v>
      </c>
      <c r="H196" s="13" t="s">
        <v>358</v>
      </c>
      <c r="I196" s="13" t="s">
        <v>27</v>
      </c>
      <c r="J196" s="12" t="s">
        <v>17</v>
      </c>
    </row>
    <row r="197" spans="1:10" ht="27">
      <c r="A197" s="16">
        <v>155</v>
      </c>
      <c r="B197" s="136">
        <v>45792</v>
      </c>
      <c r="C197" s="12" t="s">
        <v>10</v>
      </c>
      <c r="D197" s="12" t="s">
        <v>278</v>
      </c>
      <c r="E197" s="12" t="s">
        <v>30</v>
      </c>
      <c r="F197" s="12" t="s">
        <v>31</v>
      </c>
      <c r="G197" s="12" t="s">
        <v>14</v>
      </c>
      <c r="H197" s="13" t="s">
        <v>358</v>
      </c>
      <c r="I197" s="13" t="s">
        <v>27</v>
      </c>
      <c r="J197" s="12" t="s">
        <v>17</v>
      </c>
    </row>
    <row r="198" spans="1:10" ht="27">
      <c r="A198" s="16">
        <v>156</v>
      </c>
      <c r="B198" s="136">
        <v>45793</v>
      </c>
      <c r="C198" s="12" t="s">
        <v>122</v>
      </c>
      <c r="D198" s="12" t="s">
        <v>123</v>
      </c>
      <c r="E198" s="12" t="s">
        <v>20</v>
      </c>
      <c r="F198" s="12" t="s">
        <v>40</v>
      </c>
      <c r="G198" s="12" t="s">
        <v>14</v>
      </c>
      <c r="H198" s="13" t="s">
        <v>358</v>
      </c>
      <c r="I198" s="13" t="s">
        <v>27</v>
      </c>
      <c r="J198" s="12" t="s">
        <v>17</v>
      </c>
    </row>
    <row r="199" spans="1:10" ht="27">
      <c r="A199" s="16">
        <v>157</v>
      </c>
      <c r="B199" s="136">
        <v>45793</v>
      </c>
      <c r="C199" s="12" t="s">
        <v>124</v>
      </c>
      <c r="D199" s="12" t="s">
        <v>125</v>
      </c>
      <c r="E199" s="12" t="s">
        <v>30</v>
      </c>
      <c r="F199" s="12" t="s">
        <v>31</v>
      </c>
      <c r="G199" s="12" t="s">
        <v>14</v>
      </c>
      <c r="H199" s="13" t="s">
        <v>358</v>
      </c>
      <c r="I199" s="13" t="s">
        <v>27</v>
      </c>
      <c r="J199" s="12" t="s">
        <v>17</v>
      </c>
    </row>
    <row r="200" spans="1:10" ht="94.5">
      <c r="A200" s="16">
        <v>158</v>
      </c>
      <c r="B200" s="136">
        <v>45796</v>
      </c>
      <c r="C200" s="12" t="s">
        <v>49</v>
      </c>
      <c r="D200" s="12" t="s">
        <v>2140</v>
      </c>
      <c r="E200" s="12" t="s">
        <v>2141</v>
      </c>
      <c r="F200" s="12" t="s">
        <v>2142</v>
      </c>
      <c r="G200" s="12" t="s">
        <v>2143</v>
      </c>
      <c r="H200" s="13" t="s">
        <v>2144</v>
      </c>
      <c r="I200" s="13" t="s">
        <v>2145</v>
      </c>
      <c r="J200" s="12" t="s">
        <v>2146</v>
      </c>
    </row>
    <row r="201" spans="1:10" ht="81">
      <c r="A201" s="16">
        <v>159</v>
      </c>
      <c r="B201" s="136">
        <v>45797</v>
      </c>
      <c r="C201" s="12" t="s">
        <v>159</v>
      </c>
      <c r="D201" s="12" t="s">
        <v>2147</v>
      </c>
      <c r="E201" s="12" t="s">
        <v>2141</v>
      </c>
      <c r="F201" s="12" t="s">
        <v>2148</v>
      </c>
      <c r="G201" s="12" t="s">
        <v>14</v>
      </c>
      <c r="H201" s="13" t="s">
        <v>2139</v>
      </c>
      <c r="I201" s="13" t="s">
        <v>2149</v>
      </c>
      <c r="J201" s="12" t="s">
        <v>2146</v>
      </c>
    </row>
    <row r="202" spans="1:10" ht="148.5">
      <c r="A202" s="16">
        <v>160</v>
      </c>
      <c r="B202" s="136">
        <v>45797</v>
      </c>
      <c r="C202" s="12" t="s">
        <v>2150</v>
      </c>
      <c r="D202" s="12"/>
      <c r="E202" s="12" t="s">
        <v>2151</v>
      </c>
      <c r="F202" s="12" t="s">
        <v>2152</v>
      </c>
      <c r="G202" s="12" t="s">
        <v>14</v>
      </c>
      <c r="H202" s="13" t="s">
        <v>2144</v>
      </c>
      <c r="I202" s="13" t="s">
        <v>2153</v>
      </c>
      <c r="J202" s="12" t="s">
        <v>2146</v>
      </c>
    </row>
    <row r="203" spans="1:10" ht="27">
      <c r="A203" s="16">
        <v>161</v>
      </c>
      <c r="B203" s="136">
        <v>45797</v>
      </c>
      <c r="C203" s="12" t="s">
        <v>89</v>
      </c>
      <c r="D203" s="12" t="s">
        <v>90</v>
      </c>
      <c r="E203" s="12" t="s">
        <v>2154</v>
      </c>
      <c r="F203" s="12" t="s">
        <v>91</v>
      </c>
      <c r="G203" s="12" t="s">
        <v>14</v>
      </c>
      <c r="H203" s="13" t="s">
        <v>358</v>
      </c>
      <c r="I203" s="13" t="s">
        <v>27</v>
      </c>
      <c r="J203" s="12" t="s">
        <v>17</v>
      </c>
    </row>
    <row r="204" spans="1:10" ht="81">
      <c r="A204" s="16">
        <v>162</v>
      </c>
      <c r="B204" s="136">
        <v>45798</v>
      </c>
      <c r="C204" s="12" t="s">
        <v>2174</v>
      </c>
      <c r="D204" s="12" t="s">
        <v>2177</v>
      </c>
      <c r="E204" s="12" t="s">
        <v>2180</v>
      </c>
      <c r="F204" s="12" t="s">
        <v>2181</v>
      </c>
      <c r="G204" s="12" t="s">
        <v>72</v>
      </c>
      <c r="H204" s="13" t="s">
        <v>2182</v>
      </c>
      <c r="I204" s="13" t="s">
        <v>2183</v>
      </c>
      <c r="J204" s="12" t="s">
        <v>2184</v>
      </c>
    </row>
    <row r="205" spans="1:10" ht="27">
      <c r="A205" s="16">
        <v>163</v>
      </c>
      <c r="B205" s="136">
        <v>45798</v>
      </c>
      <c r="C205" s="12" t="s">
        <v>33</v>
      </c>
      <c r="D205" s="12" t="s">
        <v>2178</v>
      </c>
      <c r="E205" s="12" t="s">
        <v>2185</v>
      </c>
      <c r="F205" s="12" t="s">
        <v>2186</v>
      </c>
      <c r="G205" s="12" t="s">
        <v>14</v>
      </c>
      <c r="H205" s="13" t="s">
        <v>2176</v>
      </c>
      <c r="I205" s="13" t="s">
        <v>27</v>
      </c>
      <c r="J205" s="12" t="s">
        <v>17</v>
      </c>
    </row>
    <row r="206" spans="1:10" ht="81">
      <c r="A206" s="16">
        <v>164</v>
      </c>
      <c r="B206" s="136">
        <v>45798</v>
      </c>
      <c r="C206" s="12" t="s">
        <v>35</v>
      </c>
      <c r="D206" s="12" t="s">
        <v>36</v>
      </c>
      <c r="E206" s="12" t="s">
        <v>2185</v>
      </c>
      <c r="F206" s="12" t="s">
        <v>2187</v>
      </c>
      <c r="G206" s="12" t="s">
        <v>14</v>
      </c>
      <c r="H206" s="13" t="s">
        <v>2175</v>
      </c>
      <c r="I206" s="13" t="s">
        <v>2188</v>
      </c>
      <c r="J206" s="12" t="s">
        <v>2184</v>
      </c>
    </row>
    <row r="207" spans="1:10" ht="27">
      <c r="A207" s="16">
        <v>165</v>
      </c>
      <c r="B207" s="136">
        <v>45798</v>
      </c>
      <c r="C207" s="12" t="s">
        <v>162</v>
      </c>
      <c r="D207" s="12" t="s">
        <v>163</v>
      </c>
      <c r="E207" s="12" t="s">
        <v>2185</v>
      </c>
      <c r="F207" s="12" t="s">
        <v>2186</v>
      </c>
      <c r="G207" s="12" t="s">
        <v>14</v>
      </c>
      <c r="H207" s="13" t="s">
        <v>2176</v>
      </c>
      <c r="I207" s="13" t="s">
        <v>27</v>
      </c>
      <c r="J207" s="12" t="s">
        <v>17</v>
      </c>
    </row>
    <row r="208" spans="1:10" ht="27">
      <c r="A208" s="16">
        <v>166</v>
      </c>
      <c r="B208" s="136">
        <v>45798</v>
      </c>
      <c r="C208" s="12" t="s">
        <v>164</v>
      </c>
      <c r="D208" s="12" t="s">
        <v>2179</v>
      </c>
      <c r="E208" s="12" t="s">
        <v>2185</v>
      </c>
      <c r="F208" s="12" t="s">
        <v>2186</v>
      </c>
      <c r="G208" s="12" t="s">
        <v>14</v>
      </c>
      <c r="H208" s="13" t="s">
        <v>2176</v>
      </c>
      <c r="I208" s="13" t="s">
        <v>27</v>
      </c>
      <c r="J208" s="12" t="s">
        <v>17</v>
      </c>
    </row>
    <row r="209" spans="1:10" ht="54">
      <c r="A209" s="16">
        <v>167</v>
      </c>
      <c r="B209" s="136">
        <v>45798</v>
      </c>
      <c r="C209" s="12" t="s">
        <v>43</v>
      </c>
      <c r="D209" s="12" t="s">
        <v>2189</v>
      </c>
      <c r="E209" s="12" t="s">
        <v>2190</v>
      </c>
      <c r="F209" s="12" t="s">
        <v>46</v>
      </c>
      <c r="G209" s="12" t="s">
        <v>14</v>
      </c>
      <c r="H209" s="13" t="s">
        <v>2191</v>
      </c>
      <c r="I209" s="13" t="s">
        <v>2239</v>
      </c>
      <c r="J209" s="18" t="s">
        <v>17</v>
      </c>
    </row>
    <row r="210" spans="1:10" ht="27">
      <c r="A210" s="16">
        <v>168</v>
      </c>
      <c r="B210" s="136">
        <v>45799</v>
      </c>
      <c r="C210" s="12" t="s">
        <v>75</v>
      </c>
      <c r="D210" s="12" t="s">
        <v>76</v>
      </c>
      <c r="E210" s="12" t="s">
        <v>30</v>
      </c>
      <c r="F210" s="12" t="s">
        <v>2206</v>
      </c>
      <c r="G210" s="12" t="s">
        <v>14</v>
      </c>
      <c r="H210" s="13" t="s">
        <v>358</v>
      </c>
      <c r="I210" s="13" t="s">
        <v>27</v>
      </c>
      <c r="J210" s="12" t="s">
        <v>17</v>
      </c>
    </row>
    <row r="211" spans="1:10" ht="40.5">
      <c r="A211" s="16">
        <v>169</v>
      </c>
      <c r="B211" s="136">
        <v>45799</v>
      </c>
      <c r="C211" s="12" t="s">
        <v>28</v>
      </c>
      <c r="D211" s="12" t="s">
        <v>2207</v>
      </c>
      <c r="E211" s="12" t="s">
        <v>2208</v>
      </c>
      <c r="F211" s="12" t="s">
        <v>2209</v>
      </c>
      <c r="G211" s="12" t="s">
        <v>14</v>
      </c>
      <c r="H211" s="13" t="s">
        <v>2210</v>
      </c>
      <c r="I211" s="13" t="s">
        <v>2211</v>
      </c>
      <c r="J211" s="12" t="s">
        <v>2212</v>
      </c>
    </row>
    <row r="212" spans="1:10" ht="94.5">
      <c r="A212" s="16">
        <v>170</v>
      </c>
      <c r="B212" s="136">
        <v>45803</v>
      </c>
      <c r="C212" s="12" t="s">
        <v>18</v>
      </c>
      <c r="D212" s="12" t="s">
        <v>2213</v>
      </c>
      <c r="E212" s="12" t="s">
        <v>2214</v>
      </c>
      <c r="F212" s="12" t="s">
        <v>2215</v>
      </c>
      <c r="G212" s="12" t="s">
        <v>14</v>
      </c>
      <c r="H212" s="13" t="s">
        <v>2216</v>
      </c>
      <c r="I212" s="13" t="s">
        <v>2283</v>
      </c>
      <c r="J212" s="18" t="s">
        <v>17</v>
      </c>
    </row>
    <row r="213" spans="1:10" ht="40.5">
      <c r="A213" s="16">
        <v>171</v>
      </c>
      <c r="B213" s="136">
        <v>45803</v>
      </c>
      <c r="C213" s="12" t="s">
        <v>28</v>
      </c>
      <c r="D213" s="12" t="s">
        <v>2218</v>
      </c>
      <c r="E213" s="12" t="s">
        <v>58</v>
      </c>
      <c r="F213" s="12" t="s">
        <v>2219</v>
      </c>
      <c r="G213" s="12" t="s">
        <v>14</v>
      </c>
      <c r="H213" s="13" t="s">
        <v>2220</v>
      </c>
      <c r="I213" s="13" t="s">
        <v>2222</v>
      </c>
      <c r="J213" s="12" t="s">
        <v>2221</v>
      </c>
    </row>
    <row r="214" spans="1:10" ht="27">
      <c r="A214" s="16">
        <v>172</v>
      </c>
      <c r="B214" s="136">
        <v>45803</v>
      </c>
      <c r="C214" s="12" t="s">
        <v>2223</v>
      </c>
      <c r="D214" s="12" t="s">
        <v>2224</v>
      </c>
      <c r="E214" s="12" t="s">
        <v>2225</v>
      </c>
      <c r="F214" s="12" t="s">
        <v>271</v>
      </c>
      <c r="G214" s="12" t="s">
        <v>14</v>
      </c>
      <c r="H214" s="13" t="s">
        <v>2226</v>
      </c>
      <c r="I214" s="13" t="s">
        <v>2227</v>
      </c>
      <c r="J214" s="12" t="s">
        <v>2221</v>
      </c>
    </row>
    <row r="215" spans="1:10" ht="40.5">
      <c r="A215" s="16">
        <v>173</v>
      </c>
      <c r="B215" s="136">
        <v>45804</v>
      </c>
      <c r="C215" s="12" t="s">
        <v>2228</v>
      </c>
      <c r="D215" s="12" t="s">
        <v>2229</v>
      </c>
      <c r="E215" s="12" t="s">
        <v>225</v>
      </c>
      <c r="F215" s="12" t="s">
        <v>2230</v>
      </c>
      <c r="G215" s="12" t="s">
        <v>14</v>
      </c>
      <c r="H215" s="13" t="s">
        <v>2231</v>
      </c>
      <c r="I215" s="13" t="s">
        <v>2232</v>
      </c>
      <c r="J215" s="12" t="s">
        <v>2221</v>
      </c>
    </row>
    <row r="216" spans="1:10" ht="40.5">
      <c r="A216" s="16">
        <v>174</v>
      </c>
      <c r="B216" s="136">
        <v>45804</v>
      </c>
      <c r="C216" s="12" t="s">
        <v>119</v>
      </c>
      <c r="D216" s="12" t="s">
        <v>2233</v>
      </c>
      <c r="E216" s="12" t="s">
        <v>2234</v>
      </c>
      <c r="F216" s="12" t="s">
        <v>2235</v>
      </c>
      <c r="G216" s="12" t="s">
        <v>14</v>
      </c>
      <c r="H216" s="13" t="s">
        <v>2236</v>
      </c>
      <c r="I216" s="13" t="s">
        <v>2237</v>
      </c>
      <c r="J216" s="12" t="s">
        <v>2221</v>
      </c>
    </row>
    <row r="217" spans="1:10" ht="40.5">
      <c r="A217" s="16">
        <v>175</v>
      </c>
      <c r="B217" s="136">
        <v>45805</v>
      </c>
      <c r="C217" s="12" t="s">
        <v>43</v>
      </c>
      <c r="D217" s="12" t="s">
        <v>2240</v>
      </c>
      <c r="E217" s="12" t="s">
        <v>2241</v>
      </c>
      <c r="F217" s="12" t="s">
        <v>46</v>
      </c>
      <c r="G217" s="12" t="s">
        <v>14</v>
      </c>
      <c r="H217" s="13" t="s">
        <v>2242</v>
      </c>
      <c r="I217" s="13" t="s">
        <v>2243</v>
      </c>
      <c r="J217" s="12" t="s">
        <v>2244</v>
      </c>
    </row>
    <row r="218" spans="1:10" ht="148.5">
      <c r="A218" s="16">
        <v>176</v>
      </c>
      <c r="B218" s="136">
        <v>45806</v>
      </c>
      <c r="C218" s="12" t="s">
        <v>18</v>
      </c>
      <c r="D218" s="12" t="s">
        <v>19</v>
      </c>
      <c r="E218" s="12" t="s">
        <v>231</v>
      </c>
      <c r="F218" s="12" t="s">
        <v>13</v>
      </c>
      <c r="G218" s="12" t="s">
        <v>14</v>
      </c>
      <c r="H218" s="13" t="s">
        <v>2282</v>
      </c>
      <c r="I218" s="13" t="s">
        <v>2298</v>
      </c>
      <c r="J218" s="18" t="s">
        <v>17</v>
      </c>
    </row>
    <row r="219" spans="1:10" ht="27">
      <c r="A219" s="16">
        <v>177</v>
      </c>
      <c r="B219" s="136">
        <v>45810</v>
      </c>
      <c r="C219" s="12" t="s">
        <v>23</v>
      </c>
      <c r="D219" s="12" t="s">
        <v>24</v>
      </c>
      <c r="E219" s="12" t="s">
        <v>25</v>
      </c>
      <c r="F219" s="12" t="s">
        <v>26</v>
      </c>
      <c r="G219" s="12" t="s">
        <v>14</v>
      </c>
      <c r="H219" s="13" t="s">
        <v>358</v>
      </c>
      <c r="I219" s="13" t="s">
        <v>27</v>
      </c>
      <c r="J219" s="12" t="s">
        <v>17</v>
      </c>
    </row>
    <row r="220" spans="1:10" ht="27">
      <c r="A220" s="16">
        <v>178</v>
      </c>
      <c r="B220" s="136">
        <v>45810</v>
      </c>
      <c r="C220" s="12" t="s">
        <v>37</v>
      </c>
      <c r="D220" s="12" t="s">
        <v>38</v>
      </c>
      <c r="E220" s="12" t="s">
        <v>30</v>
      </c>
      <c r="F220" s="12" t="s">
        <v>31</v>
      </c>
      <c r="G220" s="12" t="s">
        <v>14</v>
      </c>
      <c r="H220" s="13" t="s">
        <v>358</v>
      </c>
      <c r="I220" s="13" t="s">
        <v>27</v>
      </c>
      <c r="J220" s="12" t="s">
        <v>17</v>
      </c>
    </row>
    <row r="221" spans="1:10" ht="40.5">
      <c r="A221" s="16">
        <v>179</v>
      </c>
      <c r="B221" s="136">
        <v>45810</v>
      </c>
      <c r="C221" s="12" t="s">
        <v>151</v>
      </c>
      <c r="D221" s="12" t="s">
        <v>667</v>
      </c>
      <c r="E221" s="12" t="s">
        <v>30</v>
      </c>
      <c r="F221" s="12" t="s">
        <v>31</v>
      </c>
      <c r="G221" s="12" t="s">
        <v>14</v>
      </c>
      <c r="H221" s="13" t="s">
        <v>2299</v>
      </c>
      <c r="I221" s="13" t="s">
        <v>2300</v>
      </c>
      <c r="J221" s="12" t="s">
        <v>17</v>
      </c>
    </row>
    <row r="222" spans="1:10" ht="135">
      <c r="A222" s="16">
        <v>180</v>
      </c>
      <c r="B222" s="136">
        <v>45812</v>
      </c>
      <c r="C222" s="12" t="s">
        <v>18</v>
      </c>
      <c r="D222" s="12" t="s">
        <v>19</v>
      </c>
      <c r="E222" s="12" t="s">
        <v>2302</v>
      </c>
      <c r="F222" s="12" t="s">
        <v>2303</v>
      </c>
      <c r="G222" s="12" t="s">
        <v>14</v>
      </c>
      <c r="H222" s="13" t="s">
        <v>2304</v>
      </c>
      <c r="I222" s="13" t="s">
        <v>2308</v>
      </c>
      <c r="J222" s="18" t="s">
        <v>17</v>
      </c>
    </row>
    <row r="223" spans="1:10" ht="40.5">
      <c r="A223" s="16">
        <v>181</v>
      </c>
      <c r="B223" s="136">
        <v>45812</v>
      </c>
      <c r="C223" s="12" t="s">
        <v>64</v>
      </c>
      <c r="D223" s="12" t="s">
        <v>2305</v>
      </c>
      <c r="E223" s="12" t="s">
        <v>94</v>
      </c>
      <c r="F223" s="12" t="s">
        <v>2306</v>
      </c>
      <c r="G223" s="12" t="s">
        <v>53</v>
      </c>
      <c r="H223" s="13" t="s">
        <v>2307</v>
      </c>
      <c r="I223" s="13" t="s">
        <v>2373</v>
      </c>
      <c r="J223" s="18" t="s">
        <v>17</v>
      </c>
    </row>
    <row r="224" spans="1:10" ht="40.5">
      <c r="A224" s="16">
        <v>182</v>
      </c>
      <c r="B224" s="136">
        <v>45813</v>
      </c>
      <c r="C224" s="12" t="s">
        <v>2150</v>
      </c>
      <c r="D224" s="12" t="s">
        <v>2309</v>
      </c>
      <c r="E224" s="12" t="s">
        <v>2310</v>
      </c>
      <c r="F224" s="12" t="s">
        <v>2311</v>
      </c>
      <c r="G224" s="12" t="s">
        <v>2312</v>
      </c>
      <c r="H224" s="13" t="s">
        <v>2313</v>
      </c>
      <c r="I224" s="13" t="s">
        <v>2314</v>
      </c>
      <c r="J224" s="12" t="s">
        <v>2315</v>
      </c>
    </row>
    <row r="225" spans="1:10" ht="81">
      <c r="A225" s="16">
        <v>183</v>
      </c>
      <c r="B225" s="136">
        <v>45817</v>
      </c>
      <c r="C225" s="12" t="s">
        <v>269</v>
      </c>
      <c r="D225" s="12" t="s">
        <v>2345</v>
      </c>
      <c r="E225" s="12" t="s">
        <v>189</v>
      </c>
      <c r="F225" s="12" t="s">
        <v>271</v>
      </c>
      <c r="G225" s="12" t="s">
        <v>14</v>
      </c>
      <c r="H225" s="13" t="s">
        <v>2346</v>
      </c>
      <c r="I225" s="13" t="s">
        <v>2347</v>
      </c>
      <c r="J225" s="12" t="s">
        <v>2348</v>
      </c>
    </row>
    <row r="226" spans="1:10" ht="81">
      <c r="A226" s="16">
        <v>184</v>
      </c>
      <c r="B226" s="136">
        <v>45817</v>
      </c>
      <c r="C226" s="12" t="s">
        <v>35</v>
      </c>
      <c r="D226" s="12" t="s">
        <v>36</v>
      </c>
      <c r="E226" s="12" t="s">
        <v>2349</v>
      </c>
      <c r="F226" s="12" t="s">
        <v>2350</v>
      </c>
      <c r="G226" s="12" t="s">
        <v>14</v>
      </c>
      <c r="H226" s="13" t="s">
        <v>2351</v>
      </c>
      <c r="I226" s="13" t="s">
        <v>2352</v>
      </c>
      <c r="J226" s="12" t="s">
        <v>2348</v>
      </c>
    </row>
    <row r="227" spans="1:10" ht="27">
      <c r="A227" s="16">
        <v>185</v>
      </c>
      <c r="B227" s="136">
        <v>45817</v>
      </c>
      <c r="C227" s="12" t="s">
        <v>33</v>
      </c>
      <c r="D227" s="12" t="s">
        <v>34</v>
      </c>
      <c r="E227" s="12" t="s">
        <v>30</v>
      </c>
      <c r="F227" s="12" t="s">
        <v>2350</v>
      </c>
      <c r="G227" s="12" t="s">
        <v>14</v>
      </c>
      <c r="H227" s="13" t="s">
        <v>2351</v>
      </c>
      <c r="I227" s="13" t="s">
        <v>2353</v>
      </c>
      <c r="J227" s="12" t="s">
        <v>2348</v>
      </c>
    </row>
    <row r="228" spans="1:10" ht="40.5">
      <c r="A228" s="16">
        <v>186</v>
      </c>
      <c r="B228" s="136">
        <v>45817</v>
      </c>
      <c r="C228" s="12" t="s">
        <v>28</v>
      </c>
      <c r="D228" s="12" t="s">
        <v>2354</v>
      </c>
      <c r="E228" s="12" t="s">
        <v>2349</v>
      </c>
      <c r="F228" s="12" t="s">
        <v>2350</v>
      </c>
      <c r="G228" s="12" t="s">
        <v>14</v>
      </c>
      <c r="H228" s="13" t="s">
        <v>2351</v>
      </c>
      <c r="I228" s="13" t="s">
        <v>2355</v>
      </c>
      <c r="J228" s="12" t="s">
        <v>2348</v>
      </c>
    </row>
    <row r="229" spans="1:10" ht="40.5">
      <c r="A229" s="16">
        <v>187</v>
      </c>
      <c r="B229" s="136">
        <v>45817</v>
      </c>
      <c r="C229" s="12" t="s">
        <v>89</v>
      </c>
      <c r="D229" s="12" t="s">
        <v>2356</v>
      </c>
      <c r="E229" s="12" t="s">
        <v>2357</v>
      </c>
      <c r="F229" s="12" t="s">
        <v>91</v>
      </c>
      <c r="G229" s="12" t="s">
        <v>14</v>
      </c>
      <c r="H229" s="13" t="s">
        <v>2351</v>
      </c>
      <c r="I229" s="13" t="s">
        <v>2358</v>
      </c>
      <c r="J229" s="12" t="s">
        <v>2348</v>
      </c>
    </row>
    <row r="230" spans="1:10" ht="40.5">
      <c r="A230" s="16">
        <v>188</v>
      </c>
      <c r="B230" s="136">
        <v>45818</v>
      </c>
      <c r="C230" s="12" t="s">
        <v>64</v>
      </c>
      <c r="D230" s="12" t="s">
        <v>2374</v>
      </c>
      <c r="E230" s="12" t="s">
        <v>2375</v>
      </c>
      <c r="F230" s="12" t="s">
        <v>2376</v>
      </c>
      <c r="G230" s="12" t="s">
        <v>53</v>
      </c>
      <c r="H230" s="13" t="s">
        <v>2377</v>
      </c>
      <c r="I230" s="13" t="s">
        <v>2378</v>
      </c>
      <c r="J230" s="12" t="s">
        <v>2379</v>
      </c>
    </row>
    <row r="231" spans="1:10" ht="27">
      <c r="A231" s="16">
        <v>189</v>
      </c>
      <c r="B231" s="136">
        <v>45818</v>
      </c>
      <c r="C231" s="12" t="s">
        <v>56</v>
      </c>
      <c r="D231" s="12" t="s">
        <v>2380</v>
      </c>
      <c r="E231" s="12" t="s">
        <v>58</v>
      </c>
      <c r="F231" s="12" t="s">
        <v>2381</v>
      </c>
      <c r="G231" s="12" t="s">
        <v>14</v>
      </c>
      <c r="H231" s="13" t="s">
        <v>2351</v>
      </c>
      <c r="I231" s="13" t="s">
        <v>2382</v>
      </c>
      <c r="J231" s="12" t="s">
        <v>2379</v>
      </c>
    </row>
    <row r="232" spans="1:10" ht="27">
      <c r="A232" s="16">
        <v>190</v>
      </c>
      <c r="B232" s="136">
        <v>45818</v>
      </c>
      <c r="C232" s="12" t="s">
        <v>82</v>
      </c>
      <c r="D232" s="12" t="s">
        <v>2383</v>
      </c>
      <c r="E232" s="12" t="s">
        <v>58</v>
      </c>
      <c r="F232" s="12" t="s">
        <v>2376</v>
      </c>
      <c r="G232" s="12" t="s">
        <v>14</v>
      </c>
      <c r="H232" s="13" t="s">
        <v>2351</v>
      </c>
      <c r="I232" s="13" t="s">
        <v>2384</v>
      </c>
      <c r="J232" s="12" t="s">
        <v>2379</v>
      </c>
    </row>
    <row r="233" spans="1:10" ht="81">
      <c r="A233" s="16">
        <v>191</v>
      </c>
      <c r="B233" s="136">
        <v>45819</v>
      </c>
      <c r="C233" s="12" t="s">
        <v>2386</v>
      </c>
      <c r="D233" s="12" t="s">
        <v>2387</v>
      </c>
      <c r="E233" s="12" t="s">
        <v>225</v>
      </c>
      <c r="F233" s="12" t="s">
        <v>226</v>
      </c>
      <c r="G233" s="12" t="s">
        <v>14</v>
      </c>
      <c r="H233" s="13" t="s">
        <v>2388</v>
      </c>
      <c r="I233" s="13" t="s">
        <v>2390</v>
      </c>
      <c r="J233" s="12" t="s">
        <v>2389</v>
      </c>
    </row>
    <row r="234" spans="1:10" ht="40.5">
      <c r="A234" s="16">
        <v>192</v>
      </c>
      <c r="B234" s="136">
        <v>45819</v>
      </c>
      <c r="C234" s="12" t="s">
        <v>79</v>
      </c>
      <c r="D234" s="12" t="s">
        <v>2391</v>
      </c>
      <c r="E234" s="12" t="s">
        <v>2392</v>
      </c>
      <c r="F234" s="12" t="s">
        <v>59</v>
      </c>
      <c r="G234" s="12" t="s">
        <v>14</v>
      </c>
      <c r="H234" s="13" t="s">
        <v>2351</v>
      </c>
      <c r="I234" s="13" t="s">
        <v>2393</v>
      </c>
      <c r="J234" s="12" t="s">
        <v>2389</v>
      </c>
    </row>
    <row r="235" spans="1:10" ht="40.5">
      <c r="A235" s="16">
        <v>193</v>
      </c>
      <c r="B235" s="136">
        <v>45819</v>
      </c>
      <c r="C235" s="12" t="s">
        <v>102</v>
      </c>
      <c r="D235" s="12" t="s">
        <v>103</v>
      </c>
      <c r="E235" s="12" t="s">
        <v>2397</v>
      </c>
      <c r="F235" s="12" t="s">
        <v>2394</v>
      </c>
      <c r="G235" s="12" t="s">
        <v>14</v>
      </c>
      <c r="H235" s="13" t="s">
        <v>2351</v>
      </c>
      <c r="I235" s="13" t="s">
        <v>2395</v>
      </c>
      <c r="J235" s="12" t="s">
        <v>2389</v>
      </c>
    </row>
    <row r="236" spans="1:10" ht="27">
      <c r="A236" s="16">
        <v>194</v>
      </c>
      <c r="B236" s="136">
        <v>45819</v>
      </c>
      <c r="C236" s="12" t="s">
        <v>61</v>
      </c>
      <c r="D236" s="12" t="s">
        <v>2396</v>
      </c>
      <c r="E236" s="12" t="s">
        <v>2397</v>
      </c>
      <c r="F236" s="12" t="s">
        <v>2394</v>
      </c>
      <c r="G236" s="12" t="s">
        <v>14</v>
      </c>
      <c r="H236" s="13" t="s">
        <v>2351</v>
      </c>
      <c r="I236" s="13" t="s">
        <v>2398</v>
      </c>
      <c r="J236" s="12" t="s">
        <v>2389</v>
      </c>
    </row>
    <row r="237" spans="1:10" ht="40.5">
      <c r="A237" s="16">
        <v>195</v>
      </c>
      <c r="B237" s="136">
        <v>45820</v>
      </c>
      <c r="C237" s="12" t="s">
        <v>2150</v>
      </c>
      <c r="D237" s="12" t="s">
        <v>2429</v>
      </c>
      <c r="E237" s="12" t="s">
        <v>2310</v>
      </c>
      <c r="F237" s="12" t="s">
        <v>2430</v>
      </c>
      <c r="G237" s="12" t="s">
        <v>14</v>
      </c>
      <c r="H237" s="13" t="s">
        <v>2351</v>
      </c>
      <c r="I237" s="13" t="s">
        <v>2432</v>
      </c>
      <c r="J237" s="12" t="s">
        <v>2433</v>
      </c>
    </row>
    <row r="238" spans="1:10" ht="27">
      <c r="A238" s="16">
        <v>196</v>
      </c>
      <c r="B238" s="136">
        <v>45820</v>
      </c>
      <c r="C238" s="12" t="s">
        <v>162</v>
      </c>
      <c r="D238" s="12" t="s">
        <v>163</v>
      </c>
      <c r="E238" s="12" t="s">
        <v>2436</v>
      </c>
      <c r="F238" s="12" t="s">
        <v>2434</v>
      </c>
      <c r="G238" s="12" t="s">
        <v>14</v>
      </c>
      <c r="H238" s="13" t="s">
        <v>2351</v>
      </c>
      <c r="I238" s="13" t="s">
        <v>27</v>
      </c>
      <c r="J238" s="12" t="s">
        <v>17</v>
      </c>
    </row>
    <row r="239" spans="1:10" ht="27">
      <c r="A239" s="16">
        <v>197</v>
      </c>
      <c r="B239" s="136">
        <v>45820</v>
      </c>
      <c r="C239" s="12" t="s">
        <v>109</v>
      </c>
      <c r="D239" s="12" t="s">
        <v>2435</v>
      </c>
      <c r="E239" s="12" t="s">
        <v>2437</v>
      </c>
      <c r="F239" s="12" t="s">
        <v>40</v>
      </c>
      <c r="G239" s="12" t="s">
        <v>14</v>
      </c>
      <c r="H239" s="13" t="s">
        <v>2351</v>
      </c>
      <c r="I239" s="13" t="s">
        <v>27</v>
      </c>
      <c r="J239" s="12" t="s">
        <v>17</v>
      </c>
    </row>
    <row r="240" spans="1:10" ht="67.5">
      <c r="A240" s="16">
        <v>198</v>
      </c>
      <c r="B240" s="136">
        <v>45820</v>
      </c>
      <c r="C240" s="12" t="s">
        <v>23</v>
      </c>
      <c r="D240" s="12" t="s">
        <v>24</v>
      </c>
      <c r="E240" s="12" t="s">
        <v>25</v>
      </c>
      <c r="F240" s="12" t="s">
        <v>2438</v>
      </c>
      <c r="G240" s="12" t="s">
        <v>14</v>
      </c>
      <c r="H240" s="13" t="s">
        <v>2439</v>
      </c>
      <c r="I240" s="13" t="s">
        <v>2466</v>
      </c>
      <c r="J240" s="18" t="s">
        <v>17</v>
      </c>
    </row>
    <row r="241" spans="1:10" ht="27">
      <c r="A241" s="16">
        <v>199</v>
      </c>
      <c r="B241" s="136">
        <v>45821</v>
      </c>
      <c r="C241" s="12" t="s">
        <v>92</v>
      </c>
      <c r="D241" s="12" t="s">
        <v>2449</v>
      </c>
      <c r="E241" s="12" t="s">
        <v>94</v>
      </c>
      <c r="F241" s="12" t="s">
        <v>2450</v>
      </c>
      <c r="G241" s="12" t="s">
        <v>14</v>
      </c>
      <c r="H241" s="13" t="s">
        <v>2351</v>
      </c>
      <c r="I241" s="13" t="s">
        <v>27</v>
      </c>
      <c r="J241" s="12" t="s">
        <v>17</v>
      </c>
    </row>
    <row r="242" spans="1:10" ht="27">
      <c r="A242" s="16">
        <v>200</v>
      </c>
      <c r="B242" s="136">
        <v>45821</v>
      </c>
      <c r="C242" s="12" t="s">
        <v>99</v>
      </c>
      <c r="D242" s="12" t="s">
        <v>2451</v>
      </c>
      <c r="E242" s="12" t="s">
        <v>2453</v>
      </c>
      <c r="F242" s="12" t="s">
        <v>2450</v>
      </c>
      <c r="G242" s="12" t="s">
        <v>14</v>
      </c>
      <c r="H242" s="13" t="s">
        <v>2351</v>
      </c>
      <c r="I242" s="13" t="s">
        <v>27</v>
      </c>
      <c r="J242" s="12" t="s">
        <v>17</v>
      </c>
    </row>
    <row r="243" spans="1:10" ht="27">
      <c r="A243" s="16">
        <v>201</v>
      </c>
      <c r="B243" s="136">
        <v>45821</v>
      </c>
      <c r="C243" s="12" t="s">
        <v>43</v>
      </c>
      <c r="D243" s="12" t="s">
        <v>2452</v>
      </c>
      <c r="E243" s="12" t="s">
        <v>2454</v>
      </c>
      <c r="F243" s="12" t="s">
        <v>46</v>
      </c>
      <c r="G243" s="12" t="s">
        <v>14</v>
      </c>
      <c r="H243" s="13" t="s">
        <v>2351</v>
      </c>
      <c r="I243" s="13" t="s">
        <v>27</v>
      </c>
      <c r="J243" s="12" t="s">
        <v>17</v>
      </c>
    </row>
    <row r="244" spans="1:10" ht="40.5">
      <c r="A244" s="16">
        <v>202</v>
      </c>
      <c r="B244" s="136">
        <v>45824</v>
      </c>
      <c r="C244" s="12" t="s">
        <v>2465</v>
      </c>
      <c r="D244" s="12" t="s">
        <v>2470</v>
      </c>
      <c r="E244" s="12" t="s">
        <v>2471</v>
      </c>
      <c r="F244" s="12" t="s">
        <v>2472</v>
      </c>
      <c r="G244" s="12" t="s">
        <v>14</v>
      </c>
      <c r="H244" s="13" t="s">
        <v>2351</v>
      </c>
      <c r="I244" s="13" t="s">
        <v>2473</v>
      </c>
      <c r="J244" s="12" t="s">
        <v>17</v>
      </c>
    </row>
    <row r="245" spans="1:10" ht="40.5">
      <c r="A245" s="16">
        <v>203</v>
      </c>
      <c r="B245" s="136">
        <v>45824</v>
      </c>
      <c r="C245" s="12" t="s">
        <v>23</v>
      </c>
      <c r="D245" s="12" t="s">
        <v>24</v>
      </c>
      <c r="E245" s="12" t="s">
        <v>25</v>
      </c>
      <c r="F245" s="12" t="s">
        <v>26</v>
      </c>
      <c r="G245" s="12" t="s">
        <v>14</v>
      </c>
      <c r="H245" s="13" t="s">
        <v>2467</v>
      </c>
      <c r="I245" s="13" t="s">
        <v>2468</v>
      </c>
      <c r="J245" s="12" t="s">
        <v>2469</v>
      </c>
    </row>
    <row r="246" spans="1:10" ht="67.5">
      <c r="A246" s="16">
        <v>204</v>
      </c>
      <c r="B246" s="136">
        <v>45824</v>
      </c>
      <c r="C246" s="12" t="s">
        <v>43</v>
      </c>
      <c r="D246" s="12" t="s">
        <v>44</v>
      </c>
      <c r="E246" s="12" t="s">
        <v>45</v>
      </c>
      <c r="F246" s="12" t="s">
        <v>46</v>
      </c>
      <c r="G246" s="12" t="s">
        <v>14</v>
      </c>
      <c r="H246" s="13" t="s">
        <v>2474</v>
      </c>
      <c r="I246" s="13" t="s">
        <v>2475</v>
      </c>
      <c r="J246" s="12" t="s">
        <v>2469</v>
      </c>
    </row>
    <row r="247" spans="1:10" ht="27">
      <c r="A247" s="16">
        <v>205</v>
      </c>
      <c r="B247" s="136">
        <v>45824</v>
      </c>
      <c r="C247" s="12" t="s">
        <v>10</v>
      </c>
      <c r="D247" s="12" t="s">
        <v>278</v>
      </c>
      <c r="E247" s="12" t="s">
        <v>30</v>
      </c>
      <c r="F247" s="12" t="s">
        <v>2476</v>
      </c>
      <c r="G247" s="12" t="s">
        <v>14</v>
      </c>
      <c r="H247" s="13" t="s">
        <v>2351</v>
      </c>
      <c r="I247" s="13" t="s">
        <v>27</v>
      </c>
      <c r="J247" s="12" t="s">
        <v>17</v>
      </c>
    </row>
    <row r="248" spans="1:10">
      <c r="A248" s="16"/>
      <c r="B248" s="12"/>
      <c r="C248" s="12"/>
      <c r="D248" s="12"/>
      <c r="E248" s="12"/>
      <c r="F248" s="12"/>
      <c r="G248" s="12"/>
      <c r="H248" s="13"/>
      <c r="I248" s="13"/>
      <c r="J248" s="12"/>
    </row>
    <row r="249" spans="1:10">
      <c r="A249" s="16"/>
      <c r="B249" s="12"/>
      <c r="C249" s="12"/>
      <c r="D249" s="12"/>
      <c r="E249" s="12"/>
      <c r="F249" s="12"/>
      <c r="G249" s="12"/>
      <c r="H249" s="13"/>
      <c r="I249" s="13"/>
      <c r="J249" s="12"/>
    </row>
    <row r="250" spans="1:10">
      <c r="A250" s="16"/>
      <c r="B250" s="12"/>
      <c r="C250" s="12"/>
      <c r="D250" s="12"/>
      <c r="E250" s="12"/>
      <c r="F250" s="12"/>
      <c r="G250" s="12"/>
      <c r="H250" s="13"/>
      <c r="I250" s="13"/>
      <c r="J250" s="12"/>
    </row>
    <row r="251" spans="1:10">
      <c r="A251" s="16"/>
      <c r="B251" s="12"/>
      <c r="C251" s="12"/>
      <c r="D251" s="12"/>
      <c r="E251" s="12"/>
      <c r="F251" s="12"/>
      <c r="G251" s="12"/>
      <c r="H251" s="13"/>
      <c r="I251" s="13"/>
      <c r="J251" s="12"/>
    </row>
    <row r="252" spans="1:10">
      <c r="A252" s="16"/>
      <c r="B252" s="12"/>
      <c r="C252" s="12"/>
      <c r="D252" s="12"/>
      <c r="E252" s="12"/>
      <c r="F252" s="12"/>
      <c r="G252" s="12"/>
      <c r="H252" s="13"/>
      <c r="I252" s="13"/>
      <c r="J252" s="12"/>
    </row>
    <row r="253" spans="1:10">
      <c r="A253" s="16"/>
      <c r="B253" s="12"/>
      <c r="C253" s="12"/>
      <c r="D253" s="12"/>
      <c r="E253" s="12"/>
      <c r="F253" s="12"/>
      <c r="G253" s="12"/>
      <c r="H253" s="13"/>
      <c r="I253" s="13"/>
      <c r="J253" s="12"/>
    </row>
    <row r="254" spans="1:10">
      <c r="A254" s="16"/>
      <c r="B254" s="12"/>
      <c r="C254" s="12"/>
      <c r="D254" s="12"/>
      <c r="E254" s="12"/>
      <c r="F254" s="12"/>
      <c r="G254" s="12"/>
      <c r="H254" s="13"/>
      <c r="I254" s="13"/>
      <c r="J254" s="12"/>
    </row>
    <row r="255" spans="1:10">
      <c r="A255" s="16"/>
      <c r="B255" s="12"/>
      <c r="C255" s="12"/>
      <c r="D255" s="12"/>
      <c r="E255" s="12"/>
      <c r="F255" s="12"/>
      <c r="G255" s="12"/>
      <c r="H255" s="13"/>
      <c r="I255" s="13"/>
      <c r="J255" s="12"/>
    </row>
    <row r="256" spans="1:10">
      <c r="A256" s="16"/>
      <c r="B256" s="12"/>
      <c r="C256" s="12"/>
      <c r="D256" s="12"/>
      <c r="E256" s="12"/>
      <c r="F256" s="12"/>
      <c r="G256" s="12"/>
      <c r="H256" s="13"/>
      <c r="I256" s="13"/>
      <c r="J256" s="12"/>
    </row>
    <row r="257" spans="1:10">
      <c r="A257" s="16"/>
      <c r="B257" s="12"/>
      <c r="C257" s="12"/>
      <c r="D257" s="12"/>
      <c r="E257" s="12"/>
      <c r="F257" s="12"/>
      <c r="G257" s="12"/>
      <c r="H257" s="13"/>
      <c r="I257" s="13"/>
      <c r="J257" s="12"/>
    </row>
    <row r="258" spans="1:10">
      <c r="A258" s="16"/>
      <c r="B258" s="12"/>
      <c r="C258" s="12"/>
      <c r="D258" s="12"/>
      <c r="E258" s="12"/>
      <c r="F258" s="12"/>
      <c r="G258" s="12"/>
      <c r="H258" s="13"/>
      <c r="I258" s="13"/>
      <c r="J258" s="12"/>
    </row>
    <row r="259" spans="1:10">
      <c r="A259" s="16"/>
      <c r="B259" s="12"/>
      <c r="C259" s="12"/>
      <c r="D259" s="12"/>
      <c r="E259" s="12"/>
      <c r="F259" s="12"/>
      <c r="G259" s="12"/>
      <c r="H259" s="13"/>
      <c r="I259" s="13"/>
      <c r="J259" s="12"/>
    </row>
    <row r="260" spans="1:10">
      <c r="A260" s="16"/>
      <c r="B260" s="12"/>
      <c r="C260" s="12"/>
      <c r="D260" s="12"/>
      <c r="E260" s="12"/>
      <c r="F260" s="12"/>
      <c r="G260" s="12"/>
      <c r="H260" s="13"/>
      <c r="I260" s="13"/>
      <c r="J260" s="12"/>
    </row>
    <row r="261" spans="1:10">
      <c r="A261" s="16"/>
      <c r="B261" s="12"/>
      <c r="C261" s="12"/>
      <c r="D261" s="12"/>
      <c r="E261" s="12"/>
      <c r="F261" s="12"/>
      <c r="G261" s="12"/>
      <c r="H261" s="13"/>
      <c r="I261" s="13"/>
      <c r="J261" s="12"/>
    </row>
    <row r="262" spans="1:10">
      <c r="A262" s="16"/>
      <c r="B262" s="12"/>
      <c r="C262" s="12"/>
      <c r="D262" s="12"/>
      <c r="E262" s="12"/>
      <c r="F262" s="12"/>
      <c r="G262" s="12"/>
      <c r="H262" s="13"/>
      <c r="I262" s="13"/>
      <c r="J262" s="12"/>
    </row>
    <row r="263" spans="1:10">
      <c r="A263" s="16"/>
      <c r="B263" s="12"/>
      <c r="C263" s="12"/>
      <c r="D263" s="12"/>
      <c r="E263" s="12"/>
      <c r="F263" s="12"/>
      <c r="G263" s="12"/>
      <c r="H263" s="13"/>
      <c r="I263" s="13"/>
      <c r="J263" s="12"/>
    </row>
    <row r="264" spans="1:10">
      <c r="A264" s="16"/>
      <c r="B264" s="12"/>
      <c r="C264" s="12"/>
      <c r="D264" s="12"/>
      <c r="E264" s="12"/>
      <c r="F264" s="12"/>
      <c r="G264" s="12"/>
      <c r="H264" s="13"/>
      <c r="I264" s="13"/>
      <c r="J264" s="12"/>
    </row>
    <row r="265" spans="1:10">
      <c r="A265" s="16"/>
      <c r="B265" s="12"/>
      <c r="C265" s="12"/>
      <c r="D265" s="12"/>
      <c r="E265" s="12"/>
      <c r="F265" s="12"/>
      <c r="G265" s="12"/>
      <c r="H265" s="13"/>
      <c r="I265" s="13"/>
      <c r="J265" s="12"/>
    </row>
    <row r="266" spans="1:10">
      <c r="A266" s="16"/>
      <c r="B266" s="12"/>
      <c r="C266" s="12"/>
      <c r="D266" s="12"/>
      <c r="E266" s="12"/>
      <c r="F266" s="12"/>
      <c r="G266" s="12"/>
      <c r="H266" s="13"/>
      <c r="I266" s="13"/>
      <c r="J266" s="12"/>
    </row>
    <row r="267" spans="1:10">
      <c r="A267" s="16"/>
      <c r="B267" s="12"/>
      <c r="C267" s="12"/>
      <c r="D267" s="12"/>
      <c r="E267" s="12"/>
      <c r="F267" s="12"/>
      <c r="G267" s="12"/>
      <c r="H267" s="13"/>
      <c r="I267" s="13"/>
      <c r="J267" s="12"/>
    </row>
    <row r="268" spans="1:10">
      <c r="A268" s="16"/>
      <c r="B268" s="12"/>
      <c r="C268" s="12"/>
      <c r="D268" s="12"/>
      <c r="E268" s="12"/>
      <c r="F268" s="12"/>
      <c r="G268" s="12"/>
      <c r="H268" s="13"/>
      <c r="I268" s="13"/>
      <c r="J268" s="12"/>
    </row>
    <row r="269" spans="1:10">
      <c r="A269" s="16"/>
      <c r="B269" s="12"/>
      <c r="C269" s="12"/>
      <c r="D269" s="12"/>
      <c r="E269" s="12"/>
      <c r="F269" s="12"/>
      <c r="G269" s="12"/>
      <c r="H269" s="13"/>
      <c r="I269" s="13"/>
      <c r="J269" s="12"/>
    </row>
    <row r="270" spans="1:10">
      <c r="A270" s="16"/>
      <c r="B270" s="12"/>
      <c r="C270" s="12"/>
      <c r="D270" s="12"/>
      <c r="E270" s="12"/>
      <c r="F270" s="12"/>
      <c r="G270" s="12"/>
      <c r="H270" s="13"/>
      <c r="I270" s="13"/>
      <c r="J270" s="12"/>
    </row>
    <row r="271" spans="1:10">
      <c r="A271" s="16"/>
      <c r="B271" s="12"/>
      <c r="C271" s="12"/>
      <c r="D271" s="12"/>
      <c r="E271" s="12"/>
      <c r="F271" s="12"/>
      <c r="G271" s="12"/>
      <c r="H271" s="13"/>
      <c r="I271" s="13"/>
      <c r="J271" s="12"/>
    </row>
    <row r="272" spans="1:10">
      <c r="A272" s="16"/>
      <c r="B272" s="12"/>
      <c r="C272" s="12"/>
      <c r="D272" s="12"/>
      <c r="E272" s="12"/>
      <c r="F272" s="12"/>
      <c r="G272" s="12"/>
      <c r="H272" s="13"/>
      <c r="I272" s="13"/>
      <c r="J272" s="12"/>
    </row>
    <row r="273" spans="1:10">
      <c r="A273" s="16"/>
      <c r="B273" s="12"/>
      <c r="C273" s="12"/>
      <c r="D273" s="12"/>
      <c r="E273" s="12"/>
      <c r="F273" s="12"/>
      <c r="G273" s="12"/>
      <c r="H273" s="13"/>
      <c r="I273" s="13"/>
      <c r="J273" s="12"/>
    </row>
    <row r="274" spans="1:10">
      <c r="A274" s="16"/>
      <c r="B274" s="12"/>
      <c r="C274" s="12"/>
      <c r="D274" s="12"/>
      <c r="E274" s="12"/>
      <c r="F274" s="12"/>
      <c r="G274" s="12"/>
      <c r="H274" s="13"/>
      <c r="I274" s="13"/>
      <c r="J274" s="12"/>
    </row>
    <row r="275" spans="1:10">
      <c r="A275" s="16"/>
      <c r="B275" s="12"/>
      <c r="C275" s="12"/>
      <c r="D275" s="12"/>
      <c r="E275" s="12"/>
      <c r="F275" s="12"/>
      <c r="G275" s="12"/>
      <c r="H275" s="13"/>
      <c r="I275" s="13"/>
      <c r="J275" s="12"/>
    </row>
    <row r="276" spans="1:10">
      <c r="A276" s="16"/>
      <c r="B276" s="12"/>
      <c r="C276" s="12"/>
      <c r="D276" s="12"/>
      <c r="E276" s="12"/>
      <c r="F276" s="12"/>
      <c r="G276" s="12"/>
      <c r="H276" s="13"/>
      <c r="I276" s="13"/>
      <c r="J276" s="12"/>
    </row>
    <row r="277" spans="1:10">
      <c r="A277" s="16"/>
      <c r="B277" s="12"/>
      <c r="C277" s="12"/>
      <c r="D277" s="12"/>
      <c r="E277" s="12"/>
      <c r="F277" s="12"/>
      <c r="G277" s="12"/>
      <c r="H277" s="13"/>
      <c r="I277" s="13"/>
      <c r="J277" s="12"/>
    </row>
    <row r="278" spans="1:10">
      <c r="A278" s="16"/>
      <c r="B278" s="12"/>
      <c r="C278" s="12"/>
      <c r="D278" s="12"/>
      <c r="E278" s="12"/>
      <c r="F278" s="12"/>
      <c r="G278" s="12"/>
      <c r="H278" s="13"/>
      <c r="I278" s="13"/>
      <c r="J278" s="12"/>
    </row>
    <row r="279" spans="1:10">
      <c r="A279" s="16"/>
      <c r="B279" s="12"/>
      <c r="C279" s="12"/>
      <c r="D279" s="12"/>
      <c r="E279" s="12"/>
      <c r="F279" s="12"/>
      <c r="G279" s="12"/>
      <c r="H279" s="13"/>
      <c r="I279" s="13"/>
      <c r="J279" s="12"/>
    </row>
    <row r="280" spans="1:10">
      <c r="A280" s="16"/>
      <c r="B280" s="12"/>
      <c r="C280" s="12"/>
      <c r="D280" s="12"/>
      <c r="E280" s="12"/>
      <c r="F280" s="12"/>
      <c r="G280" s="12"/>
      <c r="H280" s="13"/>
      <c r="I280" s="13"/>
      <c r="J280" s="12"/>
    </row>
    <row r="281" spans="1:10">
      <c r="A281" s="16"/>
      <c r="B281" s="12"/>
      <c r="C281" s="12"/>
      <c r="D281" s="12"/>
      <c r="E281" s="12"/>
      <c r="F281" s="12"/>
      <c r="G281" s="12"/>
      <c r="H281" s="13"/>
      <c r="I281" s="13"/>
      <c r="J281" s="12"/>
    </row>
    <row r="282" spans="1:10">
      <c r="A282" s="16"/>
      <c r="B282" s="12"/>
      <c r="C282" s="12"/>
      <c r="D282" s="12"/>
      <c r="E282" s="12"/>
      <c r="F282" s="12"/>
      <c r="G282" s="12"/>
      <c r="H282" s="13"/>
      <c r="I282" s="13"/>
      <c r="J282" s="12"/>
    </row>
    <row r="283" spans="1:10">
      <c r="A283" s="16"/>
      <c r="B283" s="12"/>
      <c r="C283" s="12"/>
      <c r="D283" s="12"/>
      <c r="E283" s="12"/>
      <c r="F283" s="12"/>
      <c r="G283" s="12"/>
      <c r="H283" s="13"/>
      <c r="I283" s="13"/>
      <c r="J283" s="12"/>
    </row>
    <row r="284" spans="1:10">
      <c r="A284" s="16"/>
      <c r="B284" s="12"/>
      <c r="C284" s="12"/>
      <c r="D284" s="12"/>
      <c r="E284" s="12"/>
      <c r="F284" s="12"/>
      <c r="G284" s="12"/>
      <c r="H284" s="13"/>
      <c r="I284" s="13"/>
      <c r="J284" s="12"/>
    </row>
    <row r="285" spans="1:10">
      <c r="A285" s="16"/>
      <c r="B285" s="12"/>
      <c r="C285" s="12"/>
      <c r="D285" s="12"/>
      <c r="E285" s="12"/>
      <c r="F285" s="12"/>
      <c r="G285" s="12"/>
      <c r="H285" s="13"/>
      <c r="I285" s="13"/>
      <c r="J285" s="12"/>
    </row>
    <row r="286" spans="1:10">
      <c r="A286" s="16"/>
      <c r="B286" s="12"/>
      <c r="C286" s="12"/>
      <c r="D286" s="12"/>
      <c r="E286" s="12"/>
      <c r="F286" s="12"/>
      <c r="G286" s="12"/>
      <c r="H286" s="13"/>
      <c r="I286" s="13"/>
      <c r="J286" s="12"/>
    </row>
    <row r="287" spans="1:10">
      <c r="A287" s="16"/>
      <c r="B287" s="12"/>
      <c r="C287" s="12"/>
      <c r="D287" s="12"/>
      <c r="E287" s="12"/>
      <c r="F287" s="12"/>
      <c r="G287" s="12"/>
      <c r="H287" s="13"/>
      <c r="I287" s="13"/>
      <c r="J287" s="12"/>
    </row>
    <row r="288" spans="1:10">
      <c r="A288" s="16"/>
      <c r="B288" s="12"/>
      <c r="C288" s="12"/>
      <c r="D288" s="12"/>
      <c r="E288" s="12"/>
      <c r="F288" s="12"/>
      <c r="G288" s="12"/>
      <c r="H288" s="13"/>
      <c r="I288" s="13"/>
      <c r="J288" s="12"/>
    </row>
    <row r="289" spans="1:10">
      <c r="A289" s="16"/>
      <c r="B289" s="12"/>
      <c r="C289" s="12"/>
      <c r="D289" s="12"/>
      <c r="E289" s="12"/>
      <c r="F289" s="12"/>
      <c r="G289" s="12"/>
      <c r="H289" s="13"/>
      <c r="I289" s="13"/>
      <c r="J289" s="12"/>
    </row>
    <row r="290" spans="1:10">
      <c r="A290" s="16"/>
      <c r="B290" s="12"/>
      <c r="C290" s="12"/>
      <c r="D290" s="12"/>
      <c r="E290" s="12"/>
      <c r="F290" s="12"/>
      <c r="G290" s="12"/>
      <c r="H290" s="13"/>
      <c r="I290" s="13"/>
      <c r="J290" s="12"/>
    </row>
    <row r="291" spans="1:10">
      <c r="A291" s="16"/>
      <c r="B291" s="12"/>
      <c r="C291" s="12"/>
      <c r="D291" s="12"/>
      <c r="E291" s="12"/>
      <c r="F291" s="12"/>
      <c r="G291" s="12"/>
      <c r="H291" s="13"/>
      <c r="I291" s="13"/>
      <c r="J291" s="12"/>
    </row>
    <row r="292" spans="1:10">
      <c r="A292" s="16"/>
      <c r="B292" s="12"/>
      <c r="C292" s="12"/>
      <c r="D292" s="12"/>
      <c r="E292" s="12"/>
      <c r="F292" s="12"/>
      <c r="G292" s="12"/>
      <c r="H292" s="13"/>
      <c r="I292" s="13"/>
      <c r="J292" s="12"/>
    </row>
    <row r="293" spans="1:10">
      <c r="A293" s="16"/>
      <c r="B293" s="12"/>
      <c r="C293" s="12"/>
      <c r="D293" s="12"/>
      <c r="E293" s="12"/>
      <c r="F293" s="12"/>
      <c r="G293" s="12"/>
      <c r="H293" s="13"/>
      <c r="I293" s="13"/>
      <c r="J293" s="12"/>
    </row>
    <row r="294" spans="1:10">
      <c r="A294" s="16"/>
      <c r="B294" s="12"/>
      <c r="C294" s="12"/>
      <c r="D294" s="12"/>
      <c r="E294" s="12"/>
      <c r="F294" s="12"/>
      <c r="G294" s="12"/>
      <c r="H294" s="13"/>
      <c r="I294" s="13"/>
      <c r="J294" s="12"/>
    </row>
    <row r="295" spans="1:10">
      <c r="A295" s="16"/>
      <c r="B295" s="12"/>
      <c r="C295" s="12"/>
      <c r="D295" s="12"/>
      <c r="E295" s="12"/>
      <c r="F295" s="12"/>
      <c r="G295" s="12"/>
      <c r="H295" s="13"/>
      <c r="I295" s="13"/>
      <c r="J295" s="12"/>
    </row>
    <row r="296" spans="1:10">
      <c r="A296" s="16"/>
      <c r="B296" s="12"/>
      <c r="C296" s="12"/>
      <c r="D296" s="12"/>
      <c r="E296" s="12"/>
      <c r="F296" s="12"/>
      <c r="G296" s="12"/>
      <c r="H296" s="13"/>
      <c r="I296" s="13"/>
      <c r="J296" s="12"/>
    </row>
    <row r="297" spans="1:10">
      <c r="A297" s="16"/>
      <c r="B297" s="12"/>
      <c r="C297" s="12"/>
      <c r="D297" s="12"/>
      <c r="E297" s="12"/>
      <c r="F297" s="12"/>
      <c r="G297" s="12"/>
      <c r="H297" s="13"/>
      <c r="I297" s="13"/>
      <c r="J297" s="12"/>
    </row>
    <row r="298" spans="1:10">
      <c r="A298" s="16"/>
      <c r="B298" s="12"/>
      <c r="C298" s="12"/>
      <c r="D298" s="12"/>
      <c r="E298" s="12"/>
      <c r="F298" s="12"/>
      <c r="G298" s="12"/>
      <c r="H298" s="13"/>
      <c r="I298" s="13"/>
      <c r="J298" s="12"/>
    </row>
    <row r="299" spans="1:10">
      <c r="A299" s="16"/>
      <c r="B299" s="12"/>
      <c r="C299" s="12"/>
      <c r="D299" s="12"/>
      <c r="E299" s="12"/>
      <c r="F299" s="12"/>
      <c r="G299" s="12"/>
      <c r="H299" s="13"/>
      <c r="I299" s="13"/>
      <c r="J299" s="12"/>
    </row>
    <row r="300" spans="1:10">
      <c r="A300" s="16"/>
      <c r="B300" s="12"/>
      <c r="C300" s="12"/>
      <c r="D300" s="12"/>
      <c r="E300" s="12"/>
      <c r="F300" s="12"/>
      <c r="G300" s="12"/>
      <c r="H300" s="13"/>
      <c r="I300" s="13"/>
      <c r="J300" s="12"/>
    </row>
    <row r="301" spans="1:10">
      <c r="A301" s="16"/>
      <c r="B301" s="12"/>
      <c r="C301" s="12"/>
      <c r="D301" s="12"/>
      <c r="E301" s="12"/>
      <c r="F301" s="12"/>
      <c r="G301" s="12"/>
      <c r="H301" s="13"/>
      <c r="I301" s="13"/>
      <c r="J301" s="12"/>
    </row>
    <row r="302" spans="1:10">
      <c r="A302" s="16"/>
      <c r="B302" s="12"/>
      <c r="C302" s="12"/>
      <c r="D302" s="12"/>
      <c r="E302" s="12"/>
      <c r="F302" s="12"/>
      <c r="G302" s="12"/>
      <c r="H302" s="13"/>
      <c r="I302" s="13"/>
      <c r="J302" s="12"/>
    </row>
    <row r="303" spans="1:10">
      <c r="A303" s="16"/>
      <c r="B303" s="12"/>
      <c r="C303" s="12"/>
      <c r="D303" s="12"/>
      <c r="E303" s="12"/>
      <c r="F303" s="12"/>
      <c r="G303" s="12"/>
      <c r="H303" s="13"/>
      <c r="I303" s="13"/>
      <c r="J303" s="12"/>
    </row>
    <row r="304" spans="1:10">
      <c r="A304" s="16"/>
      <c r="B304" s="12"/>
      <c r="C304" s="12"/>
      <c r="D304" s="12"/>
      <c r="E304" s="12"/>
      <c r="F304" s="12"/>
      <c r="G304" s="12"/>
      <c r="H304" s="13"/>
      <c r="I304" s="13"/>
      <c r="J304" s="12"/>
    </row>
    <row r="305" spans="1:10">
      <c r="A305" s="16"/>
      <c r="B305" s="12"/>
      <c r="C305" s="12"/>
      <c r="D305" s="12"/>
      <c r="E305" s="12"/>
      <c r="F305" s="12"/>
      <c r="G305" s="12"/>
      <c r="H305" s="13"/>
      <c r="I305" s="13"/>
      <c r="J305" s="12"/>
    </row>
    <row r="306" spans="1:10">
      <c r="A306" s="16"/>
      <c r="B306" s="12"/>
      <c r="C306" s="12"/>
      <c r="D306" s="12"/>
      <c r="E306" s="12"/>
      <c r="F306" s="12"/>
      <c r="G306" s="12"/>
      <c r="H306" s="13"/>
      <c r="I306" s="13"/>
      <c r="J306" s="12"/>
    </row>
    <row r="307" spans="1:10">
      <c r="A307" s="16"/>
      <c r="B307" s="12"/>
      <c r="C307" s="12"/>
      <c r="D307" s="12"/>
      <c r="E307" s="12"/>
      <c r="F307" s="12"/>
      <c r="G307" s="12"/>
      <c r="H307" s="13"/>
      <c r="I307" s="13"/>
      <c r="J307" s="12"/>
    </row>
    <row r="308" spans="1:10">
      <c r="A308" s="16"/>
      <c r="B308" s="12"/>
      <c r="C308" s="12"/>
      <c r="D308" s="12"/>
      <c r="E308" s="12"/>
      <c r="F308" s="12"/>
      <c r="G308" s="12"/>
      <c r="H308" s="13"/>
      <c r="I308" s="13"/>
      <c r="J308" s="12"/>
    </row>
    <row r="309" spans="1:10">
      <c r="A309" s="16"/>
      <c r="B309" s="12"/>
      <c r="C309" s="12"/>
      <c r="D309" s="12"/>
      <c r="E309" s="12"/>
      <c r="F309" s="12"/>
      <c r="G309" s="12"/>
      <c r="H309" s="13"/>
      <c r="I309" s="13"/>
      <c r="J309" s="12"/>
    </row>
    <row r="310" spans="1:10">
      <c r="A310" s="16"/>
      <c r="B310" s="12"/>
      <c r="C310" s="12"/>
      <c r="D310" s="12"/>
      <c r="E310" s="12"/>
      <c r="F310" s="12"/>
      <c r="G310" s="12"/>
      <c r="H310" s="13"/>
      <c r="I310" s="13"/>
      <c r="J310" s="12"/>
    </row>
    <row r="311" spans="1:10">
      <c r="A311" s="16"/>
      <c r="B311" s="12"/>
      <c r="C311" s="12"/>
      <c r="D311" s="12"/>
      <c r="E311" s="12"/>
      <c r="F311" s="12"/>
      <c r="G311" s="12"/>
      <c r="H311" s="13"/>
      <c r="I311" s="13"/>
      <c r="J311" s="12"/>
    </row>
    <row r="312" spans="1:10">
      <c r="A312" s="16"/>
      <c r="B312" s="12"/>
      <c r="C312" s="12"/>
      <c r="D312" s="12"/>
      <c r="E312" s="12"/>
      <c r="F312" s="12"/>
      <c r="G312" s="12"/>
      <c r="H312" s="13"/>
      <c r="I312" s="13"/>
      <c r="J312" s="12"/>
    </row>
    <row r="313" spans="1:10">
      <c r="A313" s="16"/>
      <c r="B313" s="12"/>
      <c r="C313" s="12"/>
      <c r="D313" s="12"/>
      <c r="E313" s="12"/>
      <c r="F313" s="12"/>
      <c r="G313" s="12"/>
      <c r="H313" s="13"/>
      <c r="I313" s="13"/>
      <c r="J313" s="12"/>
    </row>
    <row r="314" spans="1:10">
      <c r="A314" s="16"/>
      <c r="B314" s="12"/>
      <c r="C314" s="12"/>
      <c r="D314" s="12"/>
      <c r="E314" s="12"/>
      <c r="F314" s="12"/>
      <c r="G314" s="12"/>
      <c r="H314" s="13"/>
      <c r="I314" s="13"/>
      <c r="J314" s="12"/>
    </row>
    <row r="315" spans="1:10">
      <c r="A315" s="16"/>
      <c r="B315" s="12"/>
      <c r="C315" s="12"/>
      <c r="D315" s="12"/>
      <c r="E315" s="12"/>
      <c r="F315" s="12"/>
      <c r="G315" s="12"/>
      <c r="H315" s="13"/>
      <c r="I315" s="13"/>
      <c r="J315" s="12"/>
    </row>
    <row r="316" spans="1:10">
      <c r="A316" s="16"/>
      <c r="B316" s="12"/>
      <c r="C316" s="12"/>
      <c r="D316" s="12"/>
      <c r="E316" s="12"/>
      <c r="F316" s="12"/>
      <c r="G316" s="12"/>
      <c r="H316" s="13"/>
      <c r="I316" s="13"/>
      <c r="J316" s="12"/>
    </row>
    <row r="317" spans="1:10">
      <c r="A317" s="16"/>
      <c r="B317" s="12"/>
      <c r="C317" s="12"/>
      <c r="D317" s="12"/>
      <c r="E317" s="12"/>
      <c r="F317" s="12"/>
      <c r="G317" s="12"/>
      <c r="H317" s="13"/>
      <c r="I317" s="13"/>
      <c r="J317" s="12"/>
    </row>
    <row r="318" spans="1:10">
      <c r="A318" s="16"/>
      <c r="B318" s="12"/>
      <c r="C318" s="12"/>
      <c r="D318" s="12"/>
      <c r="E318" s="12"/>
      <c r="F318" s="12"/>
      <c r="G318" s="12"/>
      <c r="H318" s="13"/>
      <c r="I318" s="13"/>
      <c r="J318" s="12"/>
    </row>
    <row r="319" spans="1:10">
      <c r="A319" s="16"/>
      <c r="B319" s="12"/>
      <c r="C319" s="12"/>
      <c r="D319" s="12"/>
      <c r="E319" s="12"/>
      <c r="F319" s="12"/>
      <c r="G319" s="12"/>
      <c r="H319" s="13"/>
      <c r="I319" s="13"/>
      <c r="J319" s="12"/>
    </row>
    <row r="320" spans="1:10">
      <c r="A320" s="16"/>
      <c r="B320" s="12"/>
      <c r="C320" s="12"/>
      <c r="D320" s="12"/>
      <c r="E320" s="12"/>
      <c r="F320" s="12"/>
      <c r="G320" s="12"/>
      <c r="H320" s="13"/>
      <c r="I320" s="13"/>
      <c r="J320" s="12"/>
    </row>
    <row r="321" spans="1:10">
      <c r="A321" s="16"/>
      <c r="B321" s="12"/>
      <c r="C321" s="12"/>
      <c r="D321" s="12"/>
      <c r="E321" s="12"/>
      <c r="F321" s="12"/>
      <c r="G321" s="12"/>
      <c r="H321" s="13"/>
      <c r="I321" s="13"/>
      <c r="J321" s="12"/>
    </row>
    <row r="322" spans="1:10">
      <c r="A322" s="16"/>
      <c r="B322" s="12"/>
      <c r="C322" s="12"/>
      <c r="D322" s="12"/>
      <c r="E322" s="12"/>
      <c r="F322" s="12"/>
      <c r="G322" s="12"/>
      <c r="H322" s="13"/>
      <c r="I322" s="13"/>
      <c r="J322" s="12"/>
    </row>
    <row r="323" spans="1:10">
      <c r="A323" s="16"/>
      <c r="B323" s="12"/>
      <c r="C323" s="12"/>
      <c r="D323" s="12"/>
      <c r="E323" s="12"/>
      <c r="F323" s="12"/>
      <c r="G323" s="12"/>
      <c r="H323" s="13"/>
      <c r="I323" s="13"/>
      <c r="J323" s="12"/>
    </row>
    <row r="324" spans="1:10">
      <c r="A324" s="16"/>
      <c r="B324" s="12"/>
      <c r="C324" s="12"/>
      <c r="D324" s="12"/>
      <c r="E324" s="12"/>
      <c r="F324" s="12"/>
      <c r="G324" s="12"/>
      <c r="H324" s="13"/>
      <c r="I324" s="13"/>
      <c r="J324" s="12"/>
    </row>
    <row r="325" spans="1:10">
      <c r="A325" s="16"/>
      <c r="B325" s="12"/>
      <c r="C325" s="12"/>
      <c r="D325" s="12"/>
      <c r="E325" s="12"/>
      <c r="F325" s="12"/>
      <c r="G325" s="12"/>
      <c r="H325" s="13"/>
      <c r="I325" s="13"/>
      <c r="J325" s="12"/>
    </row>
    <row r="326" spans="1:10">
      <c r="A326" s="16"/>
      <c r="B326" s="12"/>
      <c r="C326" s="12"/>
      <c r="D326" s="12"/>
      <c r="E326" s="12"/>
      <c r="F326" s="12"/>
      <c r="G326" s="12"/>
      <c r="H326" s="13"/>
      <c r="I326" s="13"/>
      <c r="J326" s="12"/>
    </row>
    <row r="327" spans="1:10">
      <c r="A327" s="16"/>
      <c r="B327" s="12"/>
      <c r="C327" s="12"/>
      <c r="D327" s="12"/>
      <c r="E327" s="12"/>
      <c r="F327" s="12"/>
      <c r="G327" s="12"/>
      <c r="H327" s="13"/>
      <c r="I327" s="13"/>
      <c r="J327" s="12"/>
    </row>
    <row r="328" spans="1:10">
      <c r="A328" s="16"/>
      <c r="B328" s="12"/>
      <c r="C328" s="12"/>
      <c r="D328" s="12"/>
      <c r="E328" s="12"/>
      <c r="F328" s="12"/>
      <c r="G328" s="12"/>
      <c r="H328" s="13"/>
      <c r="I328" s="13"/>
      <c r="J328" s="12"/>
    </row>
    <row r="329" spans="1:10">
      <c r="A329" s="16"/>
      <c r="B329" s="12"/>
      <c r="C329" s="12"/>
      <c r="D329" s="12"/>
      <c r="E329" s="12"/>
      <c r="F329" s="12"/>
      <c r="G329" s="12"/>
      <c r="H329" s="13"/>
      <c r="I329" s="13"/>
      <c r="J329" s="12"/>
    </row>
    <row r="330" spans="1:10">
      <c r="A330" s="16"/>
      <c r="B330" s="12"/>
      <c r="C330" s="12"/>
      <c r="D330" s="12"/>
      <c r="E330" s="12"/>
      <c r="F330" s="12"/>
      <c r="G330" s="12"/>
      <c r="H330" s="13"/>
      <c r="I330" s="13"/>
      <c r="J330" s="12"/>
    </row>
    <row r="331" spans="1:10">
      <c r="A331" s="16"/>
      <c r="B331" s="12"/>
      <c r="C331" s="12"/>
      <c r="D331" s="12"/>
      <c r="E331" s="12"/>
      <c r="F331" s="12"/>
      <c r="G331" s="12"/>
      <c r="H331" s="13"/>
      <c r="I331" s="13"/>
      <c r="J331" s="12"/>
    </row>
    <row r="332" spans="1:10">
      <c r="A332" s="16"/>
      <c r="B332" s="12"/>
      <c r="C332" s="12"/>
      <c r="D332" s="12"/>
      <c r="E332" s="12"/>
      <c r="F332" s="12"/>
      <c r="G332" s="12"/>
      <c r="H332" s="13"/>
      <c r="I332" s="13"/>
      <c r="J332" s="12"/>
    </row>
    <row r="333" spans="1:10">
      <c r="A333" s="16"/>
      <c r="B333" s="12"/>
      <c r="C333" s="12"/>
      <c r="D333" s="12"/>
      <c r="E333" s="12"/>
      <c r="F333" s="12"/>
      <c r="G333" s="12"/>
      <c r="H333" s="13"/>
      <c r="I333" s="13"/>
      <c r="J333" s="12"/>
    </row>
    <row r="334" spans="1:10">
      <c r="A334" s="16"/>
      <c r="B334" s="12"/>
      <c r="C334" s="12"/>
      <c r="D334" s="12"/>
      <c r="E334" s="12"/>
      <c r="F334" s="12"/>
      <c r="G334" s="12"/>
      <c r="H334" s="13"/>
      <c r="I334" s="13"/>
      <c r="J334" s="12"/>
    </row>
    <row r="335" spans="1:10">
      <c r="A335" s="16"/>
      <c r="B335" s="12"/>
      <c r="C335" s="12"/>
      <c r="D335" s="12"/>
      <c r="E335" s="12"/>
      <c r="F335" s="12"/>
      <c r="G335" s="12"/>
      <c r="H335" s="13"/>
      <c r="I335" s="13"/>
      <c r="J335" s="12"/>
    </row>
    <row r="336" spans="1:10">
      <c r="A336" s="16"/>
      <c r="B336" s="12"/>
      <c r="C336" s="12"/>
      <c r="D336" s="12"/>
      <c r="E336" s="12"/>
      <c r="F336" s="12"/>
      <c r="G336" s="12"/>
      <c r="H336" s="13"/>
      <c r="I336" s="13"/>
      <c r="J336" s="12"/>
    </row>
    <row r="337" spans="1:10">
      <c r="A337" s="16"/>
      <c r="B337" s="12"/>
      <c r="C337" s="12"/>
      <c r="D337" s="12"/>
      <c r="E337" s="12"/>
      <c r="F337" s="12"/>
      <c r="G337" s="12"/>
      <c r="H337" s="13"/>
      <c r="I337" s="13"/>
      <c r="J337" s="12"/>
    </row>
    <row r="338" spans="1:10">
      <c r="A338" s="16"/>
      <c r="B338" s="12"/>
      <c r="C338" s="12"/>
      <c r="D338" s="12"/>
      <c r="E338" s="12"/>
      <c r="F338" s="12"/>
      <c r="G338" s="12"/>
      <c r="H338" s="13"/>
      <c r="I338" s="13"/>
      <c r="J338" s="12"/>
    </row>
    <row r="339" spans="1:10">
      <c r="A339" s="16"/>
      <c r="B339" s="12"/>
      <c r="C339" s="12"/>
      <c r="D339" s="12"/>
      <c r="E339" s="12"/>
      <c r="F339" s="12"/>
      <c r="G339" s="12"/>
      <c r="H339" s="13"/>
      <c r="I339" s="13"/>
      <c r="J339" s="12"/>
    </row>
    <row r="340" spans="1:10">
      <c r="A340" s="16"/>
      <c r="B340" s="12"/>
      <c r="C340" s="12"/>
      <c r="D340" s="12"/>
      <c r="E340" s="12"/>
      <c r="F340" s="12"/>
      <c r="G340" s="12"/>
      <c r="H340" s="13"/>
      <c r="I340" s="13"/>
      <c r="J340" s="12"/>
    </row>
    <row r="341" spans="1:10">
      <c r="A341" s="16"/>
      <c r="B341" s="12"/>
      <c r="C341" s="12"/>
      <c r="D341" s="12"/>
      <c r="E341" s="12"/>
      <c r="F341" s="12"/>
      <c r="G341" s="12"/>
      <c r="H341" s="13"/>
      <c r="I341" s="13"/>
      <c r="J341" s="12"/>
    </row>
    <row r="342" spans="1:10">
      <c r="A342" s="16"/>
      <c r="B342" s="12"/>
      <c r="C342" s="12"/>
      <c r="D342" s="12"/>
      <c r="E342" s="12"/>
      <c r="F342" s="12"/>
      <c r="G342" s="12"/>
      <c r="H342" s="13"/>
      <c r="I342" s="13"/>
      <c r="J342" s="12"/>
    </row>
    <row r="343" spans="1:10">
      <c r="A343" s="16"/>
      <c r="B343" s="12"/>
      <c r="C343" s="12"/>
      <c r="D343" s="12"/>
      <c r="E343" s="12"/>
      <c r="F343" s="12"/>
      <c r="G343" s="12"/>
      <c r="H343" s="13"/>
      <c r="I343" s="13"/>
      <c r="J343" s="12"/>
    </row>
    <row r="344" spans="1:10">
      <c r="A344" s="16"/>
      <c r="B344" s="12"/>
      <c r="C344" s="12"/>
      <c r="D344" s="12"/>
      <c r="E344" s="12"/>
      <c r="F344" s="12"/>
      <c r="G344" s="12"/>
      <c r="H344" s="13"/>
      <c r="I344" s="13"/>
      <c r="J344" s="12"/>
    </row>
    <row r="345" spans="1:10">
      <c r="A345" s="16"/>
      <c r="B345" s="12"/>
      <c r="C345" s="12"/>
      <c r="D345" s="12"/>
      <c r="E345" s="12"/>
      <c r="F345" s="12"/>
      <c r="G345" s="12"/>
      <c r="H345" s="13"/>
      <c r="I345" s="13"/>
      <c r="J345" s="12"/>
    </row>
    <row r="346" spans="1:10">
      <c r="A346" s="16"/>
      <c r="B346" s="12"/>
      <c r="C346" s="12"/>
      <c r="D346" s="12"/>
      <c r="E346" s="12"/>
      <c r="F346" s="12"/>
      <c r="G346" s="12"/>
      <c r="H346" s="13"/>
      <c r="I346" s="13"/>
      <c r="J346" s="12"/>
    </row>
    <row r="347" spans="1:10">
      <c r="A347" s="16"/>
      <c r="B347" s="12"/>
      <c r="C347" s="12"/>
      <c r="D347" s="12"/>
      <c r="E347" s="12"/>
      <c r="F347" s="12"/>
      <c r="G347" s="12"/>
      <c r="H347" s="13"/>
      <c r="I347" s="13"/>
      <c r="J347" s="12"/>
    </row>
    <row r="348" spans="1:10">
      <c r="A348" s="16"/>
      <c r="B348" s="12"/>
      <c r="C348" s="12"/>
      <c r="D348" s="12"/>
      <c r="E348" s="12"/>
      <c r="F348" s="12"/>
      <c r="G348" s="12"/>
      <c r="H348" s="13"/>
      <c r="I348" s="13"/>
      <c r="J348" s="12"/>
    </row>
    <row r="349" spans="1:10">
      <c r="A349" s="16"/>
      <c r="B349" s="12"/>
      <c r="C349" s="12"/>
      <c r="D349" s="12"/>
      <c r="E349" s="12"/>
      <c r="F349" s="12"/>
      <c r="G349" s="12"/>
      <c r="H349" s="13"/>
      <c r="I349" s="13"/>
      <c r="J349" s="12"/>
    </row>
    <row r="350" spans="1:10">
      <c r="A350" s="16"/>
      <c r="B350" s="12"/>
      <c r="C350" s="12"/>
      <c r="D350" s="12"/>
      <c r="E350" s="12"/>
      <c r="F350" s="12"/>
      <c r="G350" s="12"/>
      <c r="H350" s="13"/>
      <c r="I350" s="13"/>
      <c r="J350" s="12"/>
    </row>
    <row r="351" spans="1:10">
      <c r="A351" s="16"/>
      <c r="B351" s="12"/>
      <c r="C351" s="12"/>
      <c r="D351" s="12"/>
      <c r="E351" s="12"/>
      <c r="F351" s="12"/>
      <c r="G351" s="12"/>
      <c r="H351" s="13"/>
      <c r="I351" s="13"/>
      <c r="J351" s="12"/>
    </row>
    <row r="352" spans="1:10">
      <c r="A352" s="16"/>
      <c r="B352" s="12"/>
      <c r="C352" s="12"/>
      <c r="D352" s="12"/>
      <c r="E352" s="12"/>
      <c r="F352" s="12"/>
      <c r="G352" s="12"/>
      <c r="H352" s="13"/>
      <c r="I352" s="13"/>
      <c r="J352" s="12"/>
    </row>
    <row r="353" spans="1:10">
      <c r="A353" s="16"/>
      <c r="B353" s="12"/>
      <c r="C353" s="12"/>
      <c r="D353" s="12"/>
      <c r="E353" s="12"/>
      <c r="F353" s="12"/>
      <c r="G353" s="12"/>
      <c r="H353" s="13"/>
      <c r="I353" s="13"/>
      <c r="J353" s="12"/>
    </row>
    <row r="354" spans="1:10">
      <c r="A354" s="16"/>
      <c r="B354" s="12"/>
      <c r="C354" s="12"/>
      <c r="D354" s="12"/>
      <c r="E354" s="12"/>
      <c r="F354" s="12"/>
      <c r="G354" s="12"/>
      <c r="H354" s="13"/>
      <c r="I354" s="13"/>
      <c r="J354" s="12"/>
    </row>
    <row r="355" spans="1:10">
      <c r="A355" s="16"/>
      <c r="B355" s="12"/>
      <c r="C355" s="12"/>
      <c r="D355" s="12"/>
      <c r="E355" s="12"/>
      <c r="F355" s="12"/>
      <c r="G355" s="12"/>
      <c r="H355" s="13"/>
      <c r="I355" s="13"/>
      <c r="J355" s="12"/>
    </row>
    <row r="356" spans="1:10">
      <c r="A356" s="16"/>
      <c r="B356" s="12"/>
      <c r="C356" s="12"/>
      <c r="D356" s="12"/>
      <c r="E356" s="12"/>
      <c r="F356" s="12"/>
      <c r="G356" s="12"/>
      <c r="H356" s="13"/>
      <c r="I356" s="13"/>
      <c r="J356" s="12"/>
    </row>
    <row r="357" spans="1:10">
      <c r="A357" s="16"/>
      <c r="B357" s="12"/>
      <c r="C357" s="12"/>
      <c r="D357" s="12"/>
      <c r="E357" s="12"/>
      <c r="F357" s="12"/>
      <c r="G357" s="12"/>
      <c r="H357" s="13"/>
      <c r="I357" s="13"/>
      <c r="J357" s="12"/>
    </row>
    <row r="358" spans="1:10">
      <c r="A358" s="16"/>
      <c r="B358" s="12"/>
      <c r="C358" s="12"/>
      <c r="D358" s="12"/>
      <c r="E358" s="12"/>
      <c r="F358" s="12"/>
      <c r="G358" s="12"/>
      <c r="H358" s="13"/>
      <c r="I358" s="13"/>
      <c r="J358" s="12"/>
    </row>
    <row r="359" spans="1:10">
      <c r="A359" s="16"/>
      <c r="B359" s="12"/>
      <c r="C359" s="12"/>
      <c r="D359" s="12"/>
      <c r="E359" s="12"/>
      <c r="F359" s="12"/>
      <c r="G359" s="12"/>
      <c r="H359" s="13"/>
      <c r="I359" s="13"/>
      <c r="J359" s="12"/>
    </row>
    <row r="360" spans="1:10">
      <c r="A360" s="16"/>
      <c r="B360" s="12"/>
      <c r="C360" s="12"/>
      <c r="D360" s="12"/>
      <c r="E360" s="12"/>
      <c r="F360" s="12"/>
      <c r="G360" s="12"/>
      <c r="H360" s="13"/>
      <c r="I360" s="13"/>
      <c r="J360" s="12"/>
    </row>
    <row r="361" spans="1:10">
      <c r="A361" s="16"/>
      <c r="B361" s="12"/>
      <c r="C361" s="12"/>
      <c r="D361" s="12"/>
      <c r="E361" s="12"/>
      <c r="F361" s="12"/>
      <c r="G361" s="12"/>
      <c r="H361" s="13"/>
      <c r="I361" s="13"/>
      <c r="J361" s="12"/>
    </row>
    <row r="362" spans="1:10">
      <c r="A362" s="16"/>
      <c r="B362" s="12"/>
      <c r="C362" s="12"/>
      <c r="D362" s="12"/>
      <c r="E362" s="12"/>
      <c r="F362" s="12"/>
      <c r="G362" s="12"/>
      <c r="H362" s="13"/>
      <c r="I362" s="13"/>
      <c r="J362" s="12"/>
    </row>
    <row r="363" spans="1:10">
      <c r="A363" s="16"/>
      <c r="B363" s="12"/>
      <c r="C363" s="12"/>
      <c r="D363" s="12"/>
      <c r="E363" s="12"/>
      <c r="F363" s="12"/>
      <c r="G363" s="12"/>
      <c r="H363" s="13"/>
      <c r="I363" s="13"/>
      <c r="J363" s="12"/>
    </row>
    <row r="364" spans="1:10">
      <c r="A364" s="16"/>
      <c r="B364" s="12"/>
      <c r="C364" s="12"/>
      <c r="D364" s="12"/>
      <c r="E364" s="12"/>
      <c r="F364" s="12"/>
      <c r="G364" s="12"/>
      <c r="H364" s="13"/>
      <c r="I364" s="13"/>
      <c r="J364" s="12"/>
    </row>
    <row r="365" spans="1:10">
      <c r="A365" s="16"/>
      <c r="B365" s="12"/>
      <c r="C365" s="12"/>
      <c r="D365" s="12"/>
      <c r="E365" s="12"/>
      <c r="F365" s="12"/>
      <c r="G365" s="12"/>
      <c r="H365" s="13"/>
      <c r="I365" s="13"/>
      <c r="J365" s="12"/>
    </row>
    <row r="366" spans="1:10">
      <c r="A366" s="16"/>
      <c r="B366" s="12"/>
      <c r="C366" s="12"/>
      <c r="D366" s="12"/>
      <c r="E366" s="12"/>
      <c r="F366" s="12"/>
      <c r="G366" s="12"/>
      <c r="H366" s="13"/>
      <c r="I366" s="13"/>
      <c r="J366" s="12"/>
    </row>
    <row r="367" spans="1:10">
      <c r="A367" s="16"/>
      <c r="B367" s="12"/>
      <c r="C367" s="12"/>
      <c r="D367" s="12"/>
      <c r="E367" s="12"/>
      <c r="F367" s="12"/>
      <c r="G367" s="12"/>
      <c r="H367" s="13"/>
      <c r="I367" s="13"/>
      <c r="J367" s="12"/>
    </row>
    <row r="368" spans="1:10">
      <c r="A368" s="16"/>
      <c r="B368" s="12"/>
      <c r="C368" s="12"/>
      <c r="D368" s="12"/>
      <c r="E368" s="12"/>
      <c r="F368" s="12"/>
      <c r="G368" s="12"/>
      <c r="H368" s="13"/>
      <c r="I368" s="13"/>
      <c r="J368" s="12"/>
    </row>
    <row r="369" spans="1:10">
      <c r="A369" s="16"/>
      <c r="B369" s="12"/>
      <c r="C369" s="12"/>
      <c r="D369" s="12"/>
      <c r="E369" s="12"/>
      <c r="F369" s="12"/>
      <c r="G369" s="12"/>
      <c r="H369" s="13"/>
      <c r="I369" s="13"/>
      <c r="J369" s="12"/>
    </row>
    <row r="370" spans="1:10">
      <c r="A370" s="16"/>
      <c r="B370" s="12"/>
      <c r="C370" s="12"/>
      <c r="D370" s="12"/>
      <c r="E370" s="12"/>
      <c r="F370" s="12"/>
      <c r="G370" s="12"/>
      <c r="H370" s="13"/>
      <c r="I370" s="13"/>
      <c r="J370" s="12"/>
    </row>
    <row r="371" spans="1:10">
      <c r="A371" s="16"/>
      <c r="B371" s="12"/>
      <c r="C371" s="12"/>
      <c r="D371" s="12"/>
      <c r="E371" s="12"/>
      <c r="F371" s="12"/>
      <c r="G371" s="12"/>
      <c r="H371" s="13"/>
      <c r="I371" s="13"/>
      <c r="J371" s="12"/>
    </row>
    <row r="372" spans="1:10">
      <c r="A372" s="16"/>
      <c r="B372" s="12"/>
      <c r="C372" s="12"/>
      <c r="D372" s="12"/>
      <c r="E372" s="12"/>
      <c r="F372" s="12"/>
      <c r="G372" s="12"/>
      <c r="H372" s="13"/>
      <c r="I372" s="13"/>
      <c r="J372" s="12"/>
    </row>
    <row r="373" spans="1:10">
      <c r="A373" s="16"/>
      <c r="B373" s="12"/>
      <c r="C373" s="12"/>
      <c r="D373" s="12"/>
      <c r="E373" s="12"/>
      <c r="F373" s="12"/>
      <c r="G373" s="12"/>
      <c r="H373" s="13"/>
      <c r="I373" s="13"/>
      <c r="J373" s="12"/>
    </row>
    <row r="374" spans="1:10">
      <c r="A374" s="16"/>
      <c r="B374" s="12"/>
      <c r="C374" s="12"/>
      <c r="D374" s="12"/>
      <c r="E374" s="12"/>
      <c r="F374" s="12"/>
      <c r="G374" s="12"/>
      <c r="H374" s="13"/>
      <c r="I374" s="13"/>
      <c r="J374" s="12"/>
    </row>
    <row r="375" spans="1:10">
      <c r="A375" s="16"/>
      <c r="B375" s="12"/>
      <c r="C375" s="12"/>
      <c r="D375" s="12"/>
      <c r="E375" s="12"/>
      <c r="F375" s="12"/>
      <c r="G375" s="12"/>
      <c r="H375" s="13"/>
      <c r="I375" s="13"/>
      <c r="J375" s="12"/>
    </row>
    <row r="376" spans="1:10">
      <c r="A376" s="16"/>
      <c r="B376" s="12"/>
      <c r="C376" s="12"/>
      <c r="D376" s="12"/>
      <c r="E376" s="12"/>
      <c r="F376" s="12"/>
      <c r="G376" s="12"/>
      <c r="H376" s="13"/>
      <c r="I376" s="13"/>
      <c r="J376" s="12"/>
    </row>
    <row r="377" spans="1:10">
      <c r="A377" s="16"/>
      <c r="B377" s="12"/>
      <c r="C377" s="12"/>
      <c r="D377" s="12"/>
      <c r="E377" s="12"/>
      <c r="F377" s="12"/>
      <c r="G377" s="12"/>
      <c r="H377" s="13"/>
      <c r="I377" s="13"/>
      <c r="J377" s="12"/>
    </row>
    <row r="378" spans="1:10">
      <c r="A378" s="16"/>
      <c r="B378" s="12"/>
      <c r="C378" s="12"/>
      <c r="D378" s="12"/>
      <c r="E378" s="12"/>
      <c r="F378" s="12"/>
      <c r="G378" s="12"/>
      <c r="H378" s="13"/>
      <c r="I378" s="13"/>
      <c r="J378" s="12"/>
    </row>
    <row r="379" spans="1:10">
      <c r="A379" s="16"/>
      <c r="B379" s="12"/>
      <c r="C379" s="12"/>
      <c r="D379" s="12"/>
      <c r="E379" s="12"/>
      <c r="F379" s="12"/>
      <c r="G379" s="12"/>
      <c r="H379" s="13"/>
      <c r="I379" s="13"/>
      <c r="J379" s="12"/>
    </row>
    <row r="380" spans="1:10">
      <c r="A380" s="16"/>
      <c r="B380" s="12"/>
      <c r="C380" s="12"/>
      <c r="D380" s="12"/>
      <c r="E380" s="12"/>
      <c r="F380" s="12"/>
      <c r="G380" s="12"/>
      <c r="H380" s="13"/>
      <c r="I380" s="13"/>
      <c r="J380" s="12"/>
    </row>
    <row r="381" spans="1:10">
      <c r="A381" s="16"/>
      <c r="B381" s="12"/>
      <c r="C381" s="12"/>
      <c r="D381" s="12"/>
      <c r="E381" s="12"/>
      <c r="F381" s="12"/>
      <c r="G381" s="12"/>
      <c r="H381" s="13"/>
      <c r="I381" s="13"/>
      <c r="J381" s="12"/>
    </row>
    <row r="382" spans="1:10">
      <c r="A382" s="16"/>
      <c r="B382" s="12"/>
      <c r="C382" s="12"/>
      <c r="D382" s="12"/>
      <c r="E382" s="12"/>
      <c r="F382" s="12"/>
      <c r="G382" s="12"/>
      <c r="H382" s="13"/>
      <c r="I382" s="13"/>
      <c r="J382" s="12"/>
    </row>
    <row r="383" spans="1:10">
      <c r="A383" s="16"/>
      <c r="B383" s="12"/>
      <c r="C383" s="12"/>
      <c r="D383" s="12"/>
      <c r="E383" s="12"/>
      <c r="F383" s="12"/>
      <c r="G383" s="12"/>
      <c r="H383" s="13"/>
      <c r="I383" s="13"/>
      <c r="J383" s="12"/>
    </row>
    <row r="384" spans="1:10">
      <c r="A384" s="16"/>
      <c r="B384" s="12"/>
      <c r="C384" s="12"/>
      <c r="D384" s="12"/>
      <c r="E384" s="12"/>
      <c r="F384" s="12"/>
      <c r="G384" s="12"/>
      <c r="H384" s="13"/>
      <c r="I384" s="13"/>
      <c r="J384" s="12"/>
    </row>
    <row r="385" spans="1:10">
      <c r="A385" s="16"/>
      <c r="B385" s="12"/>
      <c r="C385" s="12"/>
      <c r="D385" s="12"/>
      <c r="E385" s="12"/>
      <c r="F385" s="12"/>
      <c r="G385" s="12"/>
      <c r="H385" s="13"/>
      <c r="I385" s="13"/>
      <c r="J385" s="12"/>
    </row>
    <row r="386" spans="1:10">
      <c r="A386" s="16"/>
      <c r="B386" s="12"/>
      <c r="C386" s="12"/>
      <c r="D386" s="12"/>
      <c r="E386" s="12"/>
      <c r="F386" s="12"/>
      <c r="G386" s="12"/>
      <c r="H386" s="13"/>
      <c r="I386" s="13"/>
      <c r="J386" s="12"/>
    </row>
    <row r="387" spans="1:10">
      <c r="A387" s="16"/>
      <c r="B387" s="12"/>
      <c r="C387" s="12"/>
      <c r="D387" s="12"/>
      <c r="E387" s="12"/>
      <c r="F387" s="12"/>
      <c r="G387" s="12"/>
      <c r="H387" s="13"/>
      <c r="I387" s="13"/>
      <c r="J387" s="12"/>
    </row>
    <row r="388" spans="1:10">
      <c r="A388" s="16"/>
      <c r="B388" s="12"/>
      <c r="C388" s="12"/>
      <c r="D388" s="12"/>
      <c r="E388" s="12"/>
      <c r="F388" s="12"/>
      <c r="G388" s="12"/>
      <c r="H388" s="13"/>
      <c r="I388" s="13"/>
      <c r="J388" s="12"/>
    </row>
    <row r="389" spans="1:10">
      <c r="A389" s="16"/>
      <c r="B389" s="12"/>
      <c r="C389" s="12"/>
      <c r="D389" s="12"/>
      <c r="E389" s="12"/>
      <c r="F389" s="12"/>
      <c r="G389" s="12"/>
      <c r="H389" s="13"/>
      <c r="I389" s="13"/>
      <c r="J389" s="12"/>
    </row>
    <row r="390" spans="1:10">
      <c r="A390" s="16"/>
      <c r="B390" s="12"/>
      <c r="C390" s="12"/>
      <c r="D390" s="12"/>
      <c r="E390" s="12"/>
      <c r="F390" s="12"/>
      <c r="G390" s="12"/>
      <c r="H390" s="13"/>
      <c r="I390" s="13"/>
      <c r="J390" s="12"/>
    </row>
    <row r="391" spans="1:10">
      <c r="A391" s="16"/>
      <c r="B391" s="12"/>
      <c r="C391" s="12"/>
      <c r="D391" s="12"/>
      <c r="E391" s="12"/>
      <c r="F391" s="12"/>
      <c r="G391" s="12"/>
      <c r="H391" s="13"/>
      <c r="I391" s="13"/>
      <c r="J391" s="12"/>
    </row>
    <row r="392" spans="1:10">
      <c r="A392" s="16"/>
      <c r="B392" s="12"/>
      <c r="C392" s="12"/>
      <c r="D392" s="12"/>
      <c r="E392" s="12"/>
      <c r="F392" s="12"/>
      <c r="G392" s="12"/>
      <c r="H392" s="13"/>
      <c r="I392" s="13"/>
      <c r="J392" s="12"/>
    </row>
    <row r="393" spans="1:10">
      <c r="A393" s="16"/>
      <c r="B393" s="12"/>
      <c r="C393" s="12"/>
      <c r="D393" s="12"/>
      <c r="E393" s="12"/>
      <c r="F393" s="12"/>
      <c r="G393" s="12"/>
      <c r="H393" s="13"/>
      <c r="I393" s="13"/>
      <c r="J393" s="12"/>
    </row>
    <row r="394" spans="1:10">
      <c r="A394" s="16"/>
      <c r="B394" s="12"/>
      <c r="C394" s="12"/>
      <c r="D394" s="12"/>
      <c r="E394" s="12"/>
      <c r="F394" s="12"/>
      <c r="G394" s="12"/>
      <c r="H394" s="13"/>
      <c r="I394" s="13"/>
      <c r="J394" s="12"/>
    </row>
    <row r="395" spans="1:10">
      <c r="A395" s="16"/>
      <c r="B395" s="12"/>
      <c r="C395" s="12"/>
      <c r="D395" s="12"/>
      <c r="E395" s="12"/>
      <c r="F395" s="12"/>
      <c r="G395" s="12"/>
      <c r="H395" s="13"/>
      <c r="I395" s="13"/>
      <c r="J395" s="12"/>
    </row>
    <row r="396" spans="1:10">
      <c r="A396" s="16"/>
      <c r="B396" s="12"/>
      <c r="C396" s="12"/>
      <c r="D396" s="12"/>
      <c r="E396" s="12"/>
      <c r="F396" s="12"/>
      <c r="G396" s="12"/>
      <c r="H396" s="13"/>
      <c r="I396" s="13"/>
      <c r="J396" s="12"/>
    </row>
    <row r="397" spans="1:10">
      <c r="A397" s="16"/>
      <c r="B397" s="12"/>
      <c r="C397" s="12"/>
      <c r="D397" s="12"/>
      <c r="E397" s="12"/>
      <c r="F397" s="12"/>
      <c r="G397" s="12"/>
      <c r="H397" s="13"/>
      <c r="I397" s="13"/>
      <c r="J397" s="12"/>
    </row>
    <row r="398" spans="1:10">
      <c r="A398" s="16"/>
      <c r="B398" s="12"/>
      <c r="C398" s="12"/>
      <c r="D398" s="12"/>
      <c r="E398" s="12"/>
      <c r="F398" s="12"/>
      <c r="G398" s="12"/>
      <c r="H398" s="13"/>
      <c r="I398" s="13"/>
      <c r="J398" s="12"/>
    </row>
    <row r="399" spans="1:10">
      <c r="A399" s="16"/>
      <c r="B399" s="12"/>
      <c r="C399" s="12"/>
      <c r="D399" s="12"/>
      <c r="E399" s="12"/>
      <c r="F399" s="12"/>
      <c r="G399" s="12"/>
      <c r="H399" s="13"/>
      <c r="I399" s="13"/>
      <c r="J399" s="12"/>
    </row>
    <row r="400" spans="1:10">
      <c r="A400" s="16"/>
      <c r="B400" s="12"/>
      <c r="C400" s="12"/>
      <c r="D400" s="12"/>
      <c r="E400" s="12"/>
      <c r="F400" s="12"/>
      <c r="G400" s="12"/>
      <c r="H400" s="13"/>
      <c r="I400" s="13"/>
      <c r="J400" s="12"/>
    </row>
    <row r="401" spans="1:10">
      <c r="A401" s="16"/>
      <c r="B401" s="12"/>
      <c r="C401" s="12"/>
      <c r="D401" s="12"/>
      <c r="E401" s="12"/>
      <c r="F401" s="12"/>
      <c r="G401" s="12"/>
      <c r="H401" s="13"/>
      <c r="I401" s="13"/>
      <c r="J401" s="12"/>
    </row>
    <row r="402" spans="1:10">
      <c r="A402" s="16"/>
      <c r="B402" s="12"/>
      <c r="C402" s="12"/>
      <c r="D402" s="12"/>
      <c r="E402" s="12"/>
      <c r="F402" s="12"/>
      <c r="G402" s="12"/>
      <c r="H402" s="13"/>
      <c r="I402" s="13"/>
      <c r="J402" s="12"/>
    </row>
    <row r="403" spans="1:10">
      <c r="A403" s="16"/>
      <c r="B403" s="12"/>
      <c r="C403" s="12"/>
      <c r="D403" s="12"/>
      <c r="E403" s="12"/>
      <c r="F403" s="12"/>
      <c r="G403" s="12"/>
      <c r="H403" s="13"/>
      <c r="I403" s="13"/>
      <c r="J403" s="12"/>
    </row>
    <row r="404" spans="1:10">
      <c r="A404" s="16"/>
      <c r="B404" s="12"/>
      <c r="C404" s="12"/>
      <c r="D404" s="12"/>
      <c r="E404" s="12"/>
      <c r="F404" s="12"/>
      <c r="G404" s="12"/>
      <c r="H404" s="13"/>
      <c r="I404" s="13"/>
      <c r="J404" s="12"/>
    </row>
    <row r="405" spans="1:10">
      <c r="A405" s="16"/>
      <c r="B405" s="12"/>
      <c r="C405" s="12"/>
      <c r="D405" s="12"/>
      <c r="E405" s="12"/>
      <c r="F405" s="12"/>
      <c r="G405" s="12"/>
      <c r="H405" s="13"/>
      <c r="I405" s="13"/>
      <c r="J405" s="12"/>
    </row>
    <row r="406" spans="1:10">
      <c r="A406" s="16"/>
      <c r="B406" s="12"/>
      <c r="C406" s="12"/>
      <c r="D406" s="12"/>
      <c r="E406" s="12"/>
      <c r="F406" s="12"/>
      <c r="G406" s="12"/>
      <c r="H406" s="13"/>
      <c r="I406" s="13"/>
      <c r="J406" s="12"/>
    </row>
    <row r="407" spans="1:10">
      <c r="A407" s="16"/>
      <c r="B407" s="12"/>
      <c r="C407" s="12"/>
      <c r="D407" s="12"/>
      <c r="E407" s="12"/>
      <c r="F407" s="12"/>
      <c r="G407" s="12"/>
      <c r="H407" s="13"/>
      <c r="I407" s="13"/>
      <c r="J407" s="12"/>
    </row>
    <row r="408" spans="1:10">
      <c r="A408" s="16"/>
      <c r="B408" s="12"/>
      <c r="C408" s="12"/>
      <c r="D408" s="12"/>
      <c r="E408" s="12"/>
      <c r="F408" s="12"/>
      <c r="G408" s="12"/>
      <c r="H408" s="13"/>
      <c r="I408" s="13"/>
      <c r="J408" s="12"/>
    </row>
    <row r="409" spans="1:10">
      <c r="A409" s="16"/>
      <c r="B409" s="12"/>
      <c r="C409" s="12"/>
      <c r="D409" s="12"/>
      <c r="E409" s="12"/>
      <c r="F409" s="12"/>
      <c r="G409" s="12"/>
      <c r="H409" s="13"/>
      <c r="I409" s="13"/>
      <c r="J409" s="12"/>
    </row>
    <row r="410" spans="1:10">
      <c r="A410" s="16"/>
      <c r="B410" s="12"/>
      <c r="C410" s="12"/>
      <c r="D410" s="12"/>
      <c r="E410" s="12"/>
      <c r="F410" s="12"/>
      <c r="G410" s="12"/>
      <c r="H410" s="13"/>
      <c r="I410" s="13"/>
      <c r="J410" s="12"/>
    </row>
    <row r="411" spans="1:10">
      <c r="A411" s="16"/>
      <c r="B411" s="12"/>
      <c r="C411" s="12"/>
      <c r="D411" s="12"/>
      <c r="E411" s="12"/>
      <c r="F411" s="12"/>
      <c r="G411" s="12"/>
      <c r="H411" s="13"/>
      <c r="I411" s="13"/>
      <c r="J411" s="12"/>
    </row>
    <row r="412" spans="1:10">
      <c r="A412" s="16"/>
      <c r="B412" s="12"/>
      <c r="C412" s="12"/>
      <c r="D412" s="12"/>
      <c r="E412" s="12"/>
      <c r="F412" s="12"/>
      <c r="G412" s="12"/>
      <c r="H412" s="13"/>
      <c r="I412" s="13"/>
      <c r="J412" s="12"/>
    </row>
    <row r="413" spans="1:10">
      <c r="A413" s="16"/>
      <c r="B413" s="12"/>
      <c r="C413" s="12"/>
      <c r="D413" s="12"/>
      <c r="E413" s="12"/>
      <c r="F413" s="12"/>
      <c r="G413" s="12"/>
      <c r="H413" s="13"/>
      <c r="I413" s="13"/>
      <c r="J413" s="12"/>
    </row>
    <row r="414" spans="1:10">
      <c r="A414" s="16"/>
      <c r="B414" s="12"/>
      <c r="C414" s="12"/>
      <c r="D414" s="12"/>
      <c r="E414" s="12"/>
      <c r="F414" s="12"/>
      <c r="G414" s="12"/>
      <c r="H414" s="13"/>
      <c r="I414" s="13"/>
      <c r="J414" s="12"/>
    </row>
    <row r="415" spans="1:10">
      <c r="A415" s="16"/>
      <c r="B415" s="12"/>
      <c r="C415" s="12"/>
      <c r="D415" s="12"/>
      <c r="E415" s="12"/>
      <c r="F415" s="12"/>
      <c r="G415" s="12"/>
      <c r="H415" s="13"/>
      <c r="I415" s="13"/>
      <c r="J415" s="12"/>
    </row>
    <row r="416" spans="1:10">
      <c r="A416" s="16"/>
      <c r="B416" s="12"/>
      <c r="C416" s="12"/>
      <c r="D416" s="12"/>
      <c r="E416" s="12"/>
      <c r="F416" s="12"/>
      <c r="G416" s="12"/>
      <c r="H416" s="13"/>
      <c r="I416" s="13"/>
      <c r="J416" s="12"/>
    </row>
    <row r="417" spans="1:10">
      <c r="A417" s="16"/>
      <c r="B417" s="12"/>
      <c r="C417" s="12"/>
      <c r="D417" s="12"/>
      <c r="E417" s="12"/>
      <c r="F417" s="12"/>
      <c r="G417" s="12"/>
      <c r="H417" s="13"/>
      <c r="I417" s="13"/>
      <c r="J417" s="12"/>
    </row>
    <row r="418" spans="1:10">
      <c r="A418" s="16"/>
      <c r="B418" s="12"/>
      <c r="C418" s="12"/>
      <c r="D418" s="12"/>
      <c r="E418" s="12"/>
      <c r="F418" s="12"/>
      <c r="G418" s="12"/>
      <c r="H418" s="13"/>
      <c r="I418" s="13"/>
      <c r="J418" s="12"/>
    </row>
    <row r="419" spans="1:10">
      <c r="A419" s="16"/>
      <c r="B419" s="12"/>
      <c r="C419" s="12"/>
      <c r="D419" s="12"/>
      <c r="E419" s="12"/>
      <c r="F419" s="12"/>
      <c r="G419" s="12"/>
      <c r="H419" s="13"/>
      <c r="I419" s="13"/>
      <c r="J419" s="12"/>
    </row>
    <row r="420" spans="1:10">
      <c r="A420" s="16"/>
      <c r="B420" s="12"/>
      <c r="C420" s="12"/>
      <c r="D420" s="12"/>
      <c r="E420" s="12"/>
      <c r="F420" s="12"/>
      <c r="G420" s="12"/>
      <c r="H420" s="13"/>
      <c r="I420" s="13"/>
      <c r="J420" s="12"/>
    </row>
    <row r="421" spans="1:10">
      <c r="A421" s="16"/>
      <c r="B421" s="12"/>
      <c r="C421" s="12"/>
      <c r="D421" s="12"/>
      <c r="E421" s="12"/>
      <c r="F421" s="12"/>
      <c r="G421" s="12"/>
      <c r="H421" s="13"/>
      <c r="I421" s="13"/>
      <c r="J421" s="12"/>
    </row>
    <row r="422" spans="1:10">
      <c r="A422" s="16"/>
      <c r="B422" s="12"/>
      <c r="C422" s="12"/>
      <c r="D422" s="12"/>
      <c r="E422" s="12"/>
      <c r="F422" s="12"/>
      <c r="G422" s="12"/>
      <c r="H422" s="13"/>
      <c r="I422" s="13"/>
      <c r="J422" s="12"/>
    </row>
    <row r="423" spans="1:10">
      <c r="A423" s="16"/>
      <c r="B423" s="12"/>
      <c r="C423" s="12"/>
      <c r="D423" s="12"/>
      <c r="E423" s="12"/>
      <c r="F423" s="12"/>
      <c r="G423" s="12"/>
      <c r="H423" s="13"/>
      <c r="I423" s="13"/>
      <c r="J423" s="12"/>
    </row>
    <row r="424" spans="1:10">
      <c r="A424" s="16"/>
      <c r="B424" s="12"/>
      <c r="C424" s="12"/>
      <c r="D424" s="12"/>
      <c r="E424" s="12"/>
      <c r="F424" s="12"/>
      <c r="G424" s="12"/>
      <c r="H424" s="13"/>
      <c r="I424" s="13"/>
      <c r="J424" s="12"/>
    </row>
    <row r="425" spans="1:10">
      <c r="A425" s="16"/>
      <c r="B425" s="12"/>
      <c r="C425" s="12"/>
      <c r="D425" s="12"/>
      <c r="E425" s="12"/>
      <c r="F425" s="12"/>
      <c r="G425" s="12"/>
      <c r="H425" s="13"/>
      <c r="I425" s="13"/>
      <c r="J425" s="12"/>
    </row>
    <row r="426" spans="1:10">
      <c r="A426" s="16"/>
      <c r="B426" s="12"/>
      <c r="C426" s="12"/>
      <c r="D426" s="12"/>
      <c r="E426" s="12"/>
      <c r="F426" s="12"/>
      <c r="G426" s="12"/>
      <c r="H426" s="13"/>
      <c r="I426" s="13"/>
      <c r="J426" s="12"/>
    </row>
    <row r="427" spans="1:10">
      <c r="A427" s="16"/>
      <c r="B427" s="12"/>
      <c r="C427" s="12"/>
      <c r="D427" s="12"/>
      <c r="E427" s="12"/>
      <c r="F427" s="12"/>
      <c r="G427" s="12"/>
      <c r="H427" s="13"/>
      <c r="I427" s="13"/>
      <c r="J427" s="12"/>
    </row>
    <row r="428" spans="1:10">
      <c r="A428" s="16"/>
      <c r="B428" s="12"/>
      <c r="C428" s="12"/>
      <c r="D428" s="12"/>
      <c r="E428" s="12"/>
      <c r="F428" s="12"/>
      <c r="G428" s="12"/>
      <c r="H428" s="13"/>
      <c r="I428" s="13"/>
      <c r="J428" s="12"/>
    </row>
    <row r="429" spans="1:10">
      <c r="A429" s="16"/>
      <c r="B429" s="12"/>
      <c r="C429" s="12"/>
      <c r="D429" s="12"/>
      <c r="E429" s="12"/>
      <c r="F429" s="12"/>
      <c r="G429" s="12"/>
      <c r="H429" s="13"/>
      <c r="I429" s="13"/>
      <c r="J429" s="12"/>
    </row>
    <row r="430" spans="1:10">
      <c r="A430" s="16"/>
      <c r="B430" s="12"/>
      <c r="C430" s="12"/>
      <c r="D430" s="12"/>
      <c r="E430" s="12"/>
      <c r="F430" s="12"/>
      <c r="G430" s="12"/>
      <c r="H430" s="13"/>
      <c r="I430" s="13"/>
      <c r="J430" s="12"/>
    </row>
    <row r="431" spans="1:10">
      <c r="A431" s="16"/>
      <c r="B431" s="12"/>
      <c r="C431" s="12"/>
      <c r="D431" s="12"/>
      <c r="E431" s="12"/>
      <c r="F431" s="12"/>
      <c r="G431" s="12"/>
      <c r="H431" s="13"/>
      <c r="I431" s="13"/>
      <c r="J431" s="12"/>
    </row>
    <row r="432" spans="1:10">
      <c r="A432" s="16"/>
      <c r="B432" s="12"/>
      <c r="C432" s="12"/>
      <c r="D432" s="12"/>
      <c r="E432" s="12"/>
      <c r="F432" s="12"/>
      <c r="G432" s="12"/>
      <c r="H432" s="13"/>
      <c r="I432" s="13"/>
      <c r="J432" s="12"/>
    </row>
    <row r="433" spans="1:10">
      <c r="A433" s="16"/>
      <c r="B433" s="12"/>
      <c r="C433" s="12"/>
      <c r="D433" s="12"/>
      <c r="E433" s="12"/>
      <c r="F433" s="12"/>
      <c r="G433" s="12"/>
      <c r="H433" s="13"/>
      <c r="I433" s="13"/>
      <c r="J433" s="12"/>
    </row>
    <row r="434" spans="1:10">
      <c r="A434" s="16"/>
      <c r="B434" s="12"/>
      <c r="C434" s="12"/>
      <c r="D434" s="12"/>
      <c r="E434" s="12"/>
      <c r="F434" s="12"/>
      <c r="G434" s="12"/>
      <c r="H434" s="13"/>
      <c r="I434" s="13"/>
      <c r="J434" s="12"/>
    </row>
    <row r="435" spans="1:10">
      <c r="A435" s="16"/>
      <c r="B435" s="12"/>
      <c r="C435" s="12"/>
      <c r="D435" s="12"/>
      <c r="E435" s="12"/>
      <c r="F435" s="12"/>
      <c r="G435" s="12"/>
      <c r="H435" s="13"/>
      <c r="I435" s="13"/>
      <c r="J435" s="12"/>
    </row>
    <row r="436" spans="1:10">
      <c r="A436" s="16"/>
      <c r="B436" s="12"/>
      <c r="C436" s="12"/>
      <c r="D436" s="12"/>
      <c r="E436" s="12"/>
      <c r="F436" s="12"/>
      <c r="G436" s="12"/>
      <c r="H436" s="13"/>
      <c r="I436" s="13"/>
      <c r="J436" s="12"/>
    </row>
    <row r="437" spans="1:10">
      <c r="A437" s="16"/>
      <c r="B437" s="12"/>
      <c r="C437" s="12"/>
      <c r="D437" s="12"/>
      <c r="E437" s="12"/>
      <c r="F437" s="12"/>
      <c r="G437" s="12"/>
      <c r="H437" s="13"/>
      <c r="I437" s="13"/>
      <c r="J437" s="12"/>
    </row>
    <row r="438" spans="1:10">
      <c r="A438" s="16"/>
      <c r="B438" s="12"/>
      <c r="C438" s="12"/>
      <c r="D438" s="12"/>
      <c r="E438" s="12"/>
      <c r="F438" s="12"/>
      <c r="G438" s="12"/>
      <c r="H438" s="13"/>
      <c r="I438" s="13"/>
      <c r="J438" s="12"/>
    </row>
    <row r="439" spans="1:10">
      <c r="A439" s="16"/>
      <c r="B439" s="12"/>
      <c r="C439" s="12"/>
      <c r="D439" s="12"/>
      <c r="E439" s="12"/>
      <c r="F439" s="12"/>
      <c r="G439" s="12"/>
      <c r="H439" s="13"/>
      <c r="I439" s="13"/>
      <c r="J439" s="12"/>
    </row>
    <row r="440" spans="1:10">
      <c r="A440" s="16"/>
      <c r="B440" s="12"/>
      <c r="C440" s="12"/>
      <c r="D440" s="12"/>
      <c r="E440" s="12"/>
      <c r="F440" s="12"/>
      <c r="G440" s="12"/>
      <c r="H440" s="13"/>
      <c r="I440" s="13"/>
      <c r="J440" s="12"/>
    </row>
    <row r="441" spans="1:10">
      <c r="A441" s="16"/>
      <c r="B441" s="12"/>
      <c r="C441" s="12"/>
      <c r="D441" s="12"/>
      <c r="E441" s="12"/>
      <c r="F441" s="12"/>
      <c r="G441" s="12"/>
      <c r="H441" s="13"/>
      <c r="I441" s="13"/>
      <c r="J441" s="12"/>
    </row>
    <row r="442" spans="1:10">
      <c r="A442" s="16"/>
      <c r="B442" s="12"/>
      <c r="C442" s="12"/>
      <c r="D442" s="12"/>
      <c r="E442" s="12"/>
      <c r="F442" s="12"/>
      <c r="G442" s="12"/>
      <c r="H442" s="13"/>
      <c r="I442" s="13"/>
      <c r="J442" s="12"/>
    </row>
    <row r="443" spans="1:10">
      <c r="A443" s="16"/>
      <c r="B443" s="12"/>
      <c r="C443" s="12"/>
      <c r="D443" s="12"/>
      <c r="E443" s="12"/>
      <c r="F443" s="12"/>
      <c r="G443" s="12"/>
      <c r="H443" s="13"/>
      <c r="I443" s="13"/>
      <c r="J443" s="12"/>
    </row>
    <row r="444" spans="1:10">
      <c r="A444" s="16"/>
      <c r="B444" s="12"/>
      <c r="C444" s="12"/>
      <c r="D444" s="12"/>
      <c r="E444" s="12"/>
      <c r="F444" s="12"/>
      <c r="G444" s="12"/>
      <c r="H444" s="13"/>
      <c r="I444" s="13"/>
      <c r="J444" s="12"/>
    </row>
    <row r="445" spans="1:10">
      <c r="A445" s="16"/>
      <c r="B445" s="12"/>
      <c r="C445" s="12"/>
      <c r="D445" s="12"/>
      <c r="E445" s="12"/>
      <c r="F445" s="12"/>
      <c r="G445" s="12"/>
      <c r="H445" s="13"/>
      <c r="I445" s="13"/>
      <c r="J445" s="12"/>
    </row>
    <row r="446" spans="1:10">
      <c r="A446" s="16"/>
      <c r="B446" s="12"/>
      <c r="C446" s="12"/>
      <c r="D446" s="12"/>
      <c r="E446" s="12"/>
      <c r="F446" s="12"/>
      <c r="G446" s="12"/>
      <c r="H446" s="13"/>
      <c r="I446" s="13"/>
      <c r="J446" s="12"/>
    </row>
    <row r="447" spans="1:10">
      <c r="A447" s="16"/>
      <c r="B447" s="12"/>
      <c r="C447" s="12"/>
      <c r="D447" s="12"/>
      <c r="E447" s="12"/>
      <c r="F447" s="12"/>
      <c r="G447" s="12"/>
      <c r="H447" s="13"/>
      <c r="I447" s="13"/>
      <c r="J447" s="12"/>
    </row>
    <row r="448" spans="1:10">
      <c r="A448" s="16"/>
      <c r="B448" s="12"/>
      <c r="C448" s="12"/>
      <c r="D448" s="12"/>
      <c r="E448" s="12"/>
      <c r="F448" s="12"/>
      <c r="G448" s="12"/>
      <c r="H448" s="13"/>
      <c r="I448" s="13"/>
      <c r="J448" s="12"/>
    </row>
    <row r="449" spans="1:10">
      <c r="A449" s="16"/>
      <c r="B449" s="12"/>
      <c r="C449" s="12"/>
      <c r="D449" s="12"/>
      <c r="E449" s="12"/>
      <c r="F449" s="12"/>
      <c r="G449" s="12"/>
      <c r="H449" s="13"/>
      <c r="I449" s="13"/>
      <c r="J449" s="12"/>
    </row>
    <row r="450" spans="1:10">
      <c r="A450" s="16"/>
      <c r="B450" s="12"/>
      <c r="C450" s="12"/>
      <c r="D450" s="12"/>
      <c r="E450" s="12"/>
      <c r="F450" s="12"/>
      <c r="G450" s="12"/>
      <c r="H450" s="13"/>
      <c r="I450" s="13"/>
      <c r="J450" s="12"/>
    </row>
    <row r="451" spans="1:10">
      <c r="A451" s="16"/>
      <c r="B451" s="12"/>
      <c r="C451" s="12"/>
      <c r="D451" s="12"/>
      <c r="E451" s="12"/>
      <c r="F451" s="12"/>
      <c r="G451" s="12"/>
      <c r="H451" s="13"/>
      <c r="I451" s="13"/>
      <c r="J451" s="12"/>
    </row>
    <row r="452" spans="1:10">
      <c r="A452" s="16"/>
      <c r="B452" s="12"/>
      <c r="C452" s="12"/>
      <c r="D452" s="12"/>
      <c r="E452" s="12"/>
      <c r="F452" s="12"/>
      <c r="G452" s="12"/>
      <c r="H452" s="13"/>
      <c r="I452" s="13"/>
      <c r="J452" s="12"/>
    </row>
    <row r="453" spans="1:10">
      <c r="A453" s="16"/>
      <c r="B453" s="12"/>
      <c r="C453" s="12"/>
      <c r="D453" s="12"/>
      <c r="E453" s="12"/>
      <c r="F453" s="12"/>
      <c r="G453" s="12"/>
      <c r="H453" s="13"/>
      <c r="I453" s="13"/>
      <c r="J453" s="12"/>
    </row>
    <row r="454" spans="1:10">
      <c r="A454" s="16"/>
      <c r="B454" s="12"/>
      <c r="C454" s="12"/>
      <c r="D454" s="12"/>
      <c r="E454" s="12"/>
      <c r="F454" s="12"/>
      <c r="G454" s="12"/>
      <c r="H454" s="13"/>
      <c r="I454" s="13"/>
      <c r="J454" s="12"/>
    </row>
    <row r="455" spans="1:10">
      <c r="A455" s="16"/>
      <c r="B455" s="12"/>
      <c r="C455" s="12"/>
      <c r="D455" s="12"/>
      <c r="E455" s="12"/>
      <c r="F455" s="12"/>
      <c r="G455" s="12"/>
      <c r="H455" s="13"/>
      <c r="I455" s="13"/>
      <c r="J455" s="12"/>
    </row>
    <row r="456" spans="1:10">
      <c r="A456" s="16"/>
      <c r="B456" s="12"/>
      <c r="C456" s="12"/>
      <c r="D456" s="12"/>
      <c r="E456" s="12"/>
      <c r="F456" s="12"/>
      <c r="G456" s="12"/>
      <c r="H456" s="13"/>
      <c r="I456" s="13"/>
      <c r="J456" s="12"/>
    </row>
    <row r="457" spans="1:10">
      <c r="A457" s="16"/>
      <c r="B457" s="12"/>
      <c r="C457" s="12"/>
      <c r="D457" s="12"/>
      <c r="E457" s="12"/>
      <c r="F457" s="12"/>
      <c r="G457" s="12"/>
      <c r="H457" s="13"/>
      <c r="I457" s="13"/>
      <c r="J457" s="12"/>
    </row>
    <row r="458" spans="1:10">
      <c r="A458" s="16"/>
      <c r="B458" s="12"/>
      <c r="C458" s="12"/>
      <c r="D458" s="12"/>
      <c r="E458" s="12"/>
      <c r="F458" s="12"/>
      <c r="G458" s="12"/>
      <c r="H458" s="13"/>
      <c r="I458" s="13"/>
      <c r="J458" s="12"/>
    </row>
    <row r="459" spans="1:10">
      <c r="A459" s="16"/>
      <c r="B459" s="12"/>
      <c r="C459" s="12"/>
      <c r="D459" s="12"/>
      <c r="E459" s="12"/>
      <c r="F459" s="12"/>
      <c r="G459" s="12"/>
      <c r="H459" s="13"/>
      <c r="I459" s="13"/>
      <c r="J459" s="12"/>
    </row>
    <row r="460" spans="1:10">
      <c r="A460" s="16"/>
      <c r="B460" s="12"/>
      <c r="C460" s="12"/>
      <c r="D460" s="12"/>
      <c r="E460" s="12"/>
      <c r="F460" s="12"/>
      <c r="G460" s="12"/>
      <c r="H460" s="13"/>
      <c r="I460" s="13"/>
      <c r="J460" s="12"/>
    </row>
    <row r="461" spans="1:10">
      <c r="A461" s="16"/>
      <c r="B461" s="12"/>
      <c r="C461" s="12"/>
      <c r="D461" s="12"/>
      <c r="E461" s="12"/>
      <c r="F461" s="12"/>
      <c r="G461" s="12"/>
      <c r="H461" s="13"/>
      <c r="I461" s="13"/>
      <c r="J461" s="12"/>
    </row>
    <row r="462" spans="1:10">
      <c r="A462" s="16"/>
      <c r="B462" s="12"/>
      <c r="C462" s="12"/>
      <c r="D462" s="12"/>
      <c r="E462" s="12"/>
      <c r="F462" s="12"/>
      <c r="G462" s="12"/>
      <c r="H462" s="13"/>
      <c r="I462" s="13"/>
      <c r="J462" s="12"/>
    </row>
    <row r="463" spans="1:10">
      <c r="A463" s="16"/>
      <c r="B463" s="12"/>
      <c r="C463" s="12"/>
      <c r="D463" s="12"/>
      <c r="E463" s="12"/>
      <c r="F463" s="12"/>
      <c r="G463" s="12"/>
      <c r="H463" s="13"/>
      <c r="I463" s="13"/>
      <c r="J463" s="12"/>
    </row>
    <row r="464" spans="1:10">
      <c r="A464" s="16"/>
      <c r="B464" s="12"/>
      <c r="C464" s="12"/>
      <c r="D464" s="12"/>
      <c r="E464" s="12"/>
      <c r="F464" s="12"/>
      <c r="G464" s="12"/>
      <c r="H464" s="13"/>
      <c r="I464" s="13"/>
      <c r="J464" s="12"/>
    </row>
    <row r="465" spans="1:10">
      <c r="A465" s="16"/>
      <c r="B465" s="12"/>
      <c r="C465" s="12"/>
      <c r="D465" s="12"/>
      <c r="E465" s="12"/>
      <c r="F465" s="12"/>
      <c r="G465" s="12"/>
      <c r="H465" s="13"/>
      <c r="I465" s="13"/>
      <c r="J465" s="12"/>
    </row>
    <row r="466" spans="1:10">
      <c r="A466" s="16"/>
      <c r="B466" s="12"/>
      <c r="C466" s="12"/>
      <c r="D466" s="12"/>
      <c r="E466" s="12"/>
      <c r="F466" s="12"/>
      <c r="G466" s="12"/>
      <c r="H466" s="13"/>
      <c r="I466" s="13"/>
      <c r="J466" s="12"/>
    </row>
    <row r="467" spans="1:10">
      <c r="A467" s="16"/>
      <c r="B467" s="12"/>
      <c r="C467" s="12"/>
      <c r="D467" s="12"/>
      <c r="E467" s="12"/>
      <c r="F467" s="12"/>
      <c r="G467" s="12"/>
      <c r="H467" s="13"/>
      <c r="I467" s="13"/>
      <c r="J467" s="12"/>
    </row>
    <row r="468" spans="1:10">
      <c r="A468" s="16"/>
      <c r="B468" s="12"/>
      <c r="C468" s="12"/>
      <c r="D468" s="12"/>
      <c r="E468" s="12"/>
      <c r="F468" s="12"/>
      <c r="G468" s="12"/>
      <c r="H468" s="13"/>
      <c r="I468" s="13"/>
      <c r="J468" s="12"/>
    </row>
    <row r="469" spans="1:10">
      <c r="A469" s="16"/>
      <c r="B469" s="12"/>
      <c r="C469" s="12"/>
      <c r="D469" s="12"/>
      <c r="E469" s="12"/>
      <c r="F469" s="12"/>
      <c r="G469" s="12"/>
      <c r="H469" s="13"/>
      <c r="I469" s="13"/>
      <c r="J469" s="12"/>
    </row>
    <row r="470" spans="1:10">
      <c r="A470" s="16"/>
      <c r="B470" s="12"/>
      <c r="C470" s="12"/>
      <c r="D470" s="12"/>
      <c r="E470" s="12"/>
      <c r="F470" s="12"/>
      <c r="G470" s="12"/>
      <c r="H470" s="13"/>
      <c r="I470" s="13"/>
      <c r="J470" s="12"/>
    </row>
    <row r="471" spans="1:10">
      <c r="A471" s="16"/>
      <c r="B471" s="12"/>
      <c r="C471" s="12"/>
      <c r="D471" s="12"/>
      <c r="E471" s="12"/>
      <c r="F471" s="12"/>
      <c r="G471" s="12"/>
      <c r="H471" s="13"/>
      <c r="I471" s="13"/>
      <c r="J471" s="12"/>
    </row>
    <row r="472" spans="1:10">
      <c r="A472" s="16"/>
      <c r="B472" s="12"/>
      <c r="C472" s="12"/>
      <c r="D472" s="12"/>
      <c r="E472" s="12"/>
      <c r="F472" s="12"/>
      <c r="G472" s="12"/>
      <c r="H472" s="13"/>
      <c r="I472" s="13"/>
      <c r="J472" s="12"/>
    </row>
    <row r="473" spans="1:10">
      <c r="A473" s="16"/>
      <c r="B473" s="12"/>
      <c r="C473" s="12"/>
      <c r="D473" s="12"/>
      <c r="E473" s="12"/>
      <c r="F473" s="12"/>
      <c r="G473" s="12"/>
      <c r="H473" s="13"/>
      <c r="I473" s="13"/>
      <c r="J473" s="12"/>
    </row>
    <row r="474" spans="1:10">
      <c r="A474" s="16"/>
      <c r="B474" s="12"/>
      <c r="C474" s="12"/>
      <c r="D474" s="12"/>
      <c r="E474" s="12"/>
      <c r="F474" s="12"/>
      <c r="G474" s="12"/>
      <c r="H474" s="13"/>
      <c r="I474" s="13"/>
      <c r="J474" s="12"/>
    </row>
    <row r="475" spans="1:10">
      <c r="A475" s="16"/>
      <c r="B475" s="12"/>
      <c r="C475" s="12"/>
      <c r="D475" s="12"/>
      <c r="E475" s="12"/>
      <c r="F475" s="12"/>
      <c r="G475" s="12"/>
      <c r="H475" s="13"/>
      <c r="I475" s="13"/>
      <c r="J475" s="12"/>
    </row>
    <row r="476" spans="1:10">
      <c r="A476" s="16"/>
      <c r="B476" s="12"/>
      <c r="C476" s="12"/>
      <c r="D476" s="12"/>
      <c r="E476" s="12"/>
      <c r="F476" s="12"/>
      <c r="G476" s="12"/>
      <c r="H476" s="13"/>
      <c r="I476" s="13"/>
      <c r="J476" s="12"/>
    </row>
    <row r="477" spans="1:10">
      <c r="A477" s="16"/>
      <c r="B477" s="12"/>
      <c r="C477" s="12"/>
      <c r="D477" s="12"/>
      <c r="E477" s="12"/>
      <c r="F477" s="12"/>
      <c r="G477" s="12"/>
      <c r="H477" s="13"/>
      <c r="I477" s="13"/>
      <c r="J477" s="12"/>
    </row>
    <row r="478" spans="1:10">
      <c r="A478" s="16"/>
      <c r="B478" s="12"/>
      <c r="C478" s="12"/>
      <c r="D478" s="12"/>
      <c r="E478" s="12"/>
      <c r="F478" s="12"/>
      <c r="G478" s="12"/>
      <c r="H478" s="13"/>
      <c r="I478" s="13"/>
      <c r="J478" s="12"/>
    </row>
    <row r="479" spans="1:10">
      <c r="A479" s="16"/>
      <c r="B479" s="12"/>
      <c r="C479" s="12"/>
      <c r="D479" s="12"/>
      <c r="E479" s="12"/>
      <c r="F479" s="12"/>
      <c r="G479" s="12"/>
      <c r="H479" s="13"/>
      <c r="I479" s="13"/>
      <c r="J479" s="12"/>
    </row>
    <row r="480" spans="1:10">
      <c r="A480" s="16"/>
      <c r="B480" s="12"/>
      <c r="C480" s="12"/>
      <c r="D480" s="12"/>
      <c r="E480" s="12"/>
      <c r="F480" s="12"/>
      <c r="G480" s="12"/>
      <c r="H480" s="13"/>
      <c r="I480" s="13"/>
      <c r="J480" s="12"/>
    </row>
    <row r="481" spans="1:10">
      <c r="A481" s="16"/>
      <c r="B481" s="12"/>
      <c r="C481" s="12"/>
      <c r="D481" s="12"/>
      <c r="E481" s="12"/>
      <c r="F481" s="12"/>
      <c r="G481" s="12"/>
      <c r="H481" s="13"/>
      <c r="I481" s="13"/>
      <c r="J481" s="12"/>
    </row>
    <row r="482" spans="1:10">
      <c r="A482" s="16"/>
      <c r="B482" s="12"/>
      <c r="C482" s="12"/>
      <c r="D482" s="12"/>
      <c r="E482" s="12"/>
      <c r="F482" s="12"/>
      <c r="G482" s="12"/>
      <c r="H482" s="13"/>
      <c r="I482" s="13"/>
      <c r="J482" s="12"/>
    </row>
    <row r="483" spans="1:10">
      <c r="A483" s="16"/>
      <c r="B483" s="12"/>
      <c r="C483" s="12"/>
      <c r="D483" s="12"/>
      <c r="E483" s="12"/>
      <c r="F483" s="12"/>
      <c r="G483" s="12"/>
      <c r="H483" s="13"/>
      <c r="I483" s="13"/>
      <c r="J483" s="12"/>
    </row>
    <row r="484" spans="1:10">
      <c r="A484" s="16"/>
      <c r="B484" s="12"/>
      <c r="C484" s="12"/>
      <c r="D484" s="12"/>
      <c r="E484" s="12"/>
      <c r="F484" s="12"/>
      <c r="G484" s="12"/>
      <c r="H484" s="13"/>
      <c r="I484" s="13"/>
      <c r="J484" s="12"/>
    </row>
    <row r="485" spans="1:10">
      <c r="A485" s="16"/>
      <c r="B485" s="12"/>
      <c r="C485" s="12"/>
      <c r="D485" s="12"/>
      <c r="E485" s="12"/>
      <c r="F485" s="12"/>
      <c r="G485" s="12"/>
      <c r="H485" s="13"/>
      <c r="I485" s="13"/>
      <c r="J485" s="12"/>
    </row>
    <row r="486" spans="1:10">
      <c r="A486" s="16"/>
      <c r="B486" s="12"/>
      <c r="C486" s="12"/>
      <c r="D486" s="12"/>
      <c r="E486" s="12"/>
      <c r="F486" s="12"/>
      <c r="G486" s="12"/>
      <c r="H486" s="13"/>
      <c r="I486" s="13"/>
      <c r="J486" s="12"/>
    </row>
    <row r="487" spans="1:10">
      <c r="A487" s="16"/>
      <c r="B487" s="12"/>
      <c r="C487" s="12"/>
      <c r="D487" s="12"/>
      <c r="E487" s="12"/>
      <c r="F487" s="12"/>
      <c r="G487" s="12"/>
      <c r="H487" s="13"/>
      <c r="I487" s="13"/>
      <c r="J487" s="12"/>
    </row>
    <row r="488" spans="1:10">
      <c r="A488" s="16"/>
      <c r="B488" s="12"/>
      <c r="C488" s="12"/>
      <c r="D488" s="12"/>
      <c r="E488" s="12"/>
      <c r="F488" s="12"/>
      <c r="G488" s="12"/>
      <c r="H488" s="13"/>
      <c r="I488" s="13"/>
      <c r="J488" s="12"/>
    </row>
    <row r="489" spans="1:10">
      <c r="A489" s="16"/>
      <c r="B489" s="12"/>
      <c r="C489" s="12"/>
      <c r="D489" s="12"/>
      <c r="E489" s="12"/>
      <c r="F489" s="12"/>
      <c r="G489" s="12"/>
      <c r="H489" s="13"/>
      <c r="I489" s="13"/>
      <c r="J489" s="12"/>
    </row>
    <row r="490" spans="1:10">
      <c r="A490" s="16"/>
      <c r="B490" s="12"/>
      <c r="C490" s="12"/>
      <c r="D490" s="12"/>
      <c r="E490" s="12"/>
      <c r="F490" s="12"/>
      <c r="G490" s="12"/>
      <c r="H490" s="13"/>
      <c r="I490" s="13"/>
      <c r="J490" s="12"/>
    </row>
    <row r="491" spans="1:10">
      <c r="A491" s="16"/>
      <c r="B491" s="12"/>
      <c r="C491" s="12"/>
      <c r="D491" s="12"/>
      <c r="E491" s="12"/>
      <c r="F491" s="12"/>
      <c r="G491" s="12"/>
      <c r="H491" s="13"/>
      <c r="I491" s="13"/>
      <c r="J491" s="12"/>
    </row>
    <row r="492" spans="1:10">
      <c r="A492" s="16"/>
      <c r="B492" s="12"/>
      <c r="C492" s="12"/>
      <c r="D492" s="12"/>
      <c r="E492" s="12"/>
      <c r="F492" s="12"/>
      <c r="G492" s="12"/>
      <c r="H492" s="13"/>
      <c r="I492" s="13"/>
      <c r="J492" s="12"/>
    </row>
    <row r="493" spans="1:10">
      <c r="A493" s="16"/>
      <c r="B493" s="12"/>
      <c r="C493" s="12"/>
      <c r="D493" s="12"/>
      <c r="E493" s="12"/>
      <c r="F493" s="12"/>
      <c r="G493" s="12"/>
      <c r="H493" s="13"/>
      <c r="I493" s="13"/>
      <c r="J493" s="12"/>
    </row>
    <row r="494" spans="1:10">
      <c r="A494" s="16"/>
      <c r="B494" s="12"/>
      <c r="C494" s="12"/>
      <c r="D494" s="12"/>
      <c r="E494" s="12"/>
      <c r="F494" s="12"/>
      <c r="G494" s="12"/>
      <c r="H494" s="13"/>
      <c r="I494" s="13"/>
      <c r="J494" s="12"/>
    </row>
    <row r="495" spans="1:10">
      <c r="A495" s="16"/>
      <c r="B495" s="12"/>
      <c r="C495" s="12"/>
      <c r="D495" s="12"/>
      <c r="E495" s="12"/>
      <c r="F495" s="12"/>
      <c r="G495" s="12"/>
      <c r="H495" s="13"/>
      <c r="I495" s="13"/>
      <c r="J495" s="12"/>
    </row>
    <row r="496" spans="1:10">
      <c r="A496" s="16"/>
      <c r="B496" s="12"/>
      <c r="C496" s="12"/>
      <c r="D496" s="12"/>
      <c r="E496" s="12"/>
      <c r="F496" s="12"/>
      <c r="G496" s="12"/>
      <c r="H496" s="13"/>
      <c r="I496" s="13"/>
      <c r="J496" s="12"/>
    </row>
    <row r="497" spans="1:10">
      <c r="A497" s="16"/>
      <c r="B497" s="12"/>
      <c r="C497" s="12"/>
      <c r="D497" s="12"/>
      <c r="E497" s="12"/>
      <c r="F497" s="12"/>
      <c r="G497" s="12"/>
      <c r="H497" s="13"/>
      <c r="I497" s="13"/>
      <c r="J497" s="12"/>
    </row>
    <row r="498" spans="1:10">
      <c r="A498" s="16"/>
      <c r="B498" s="12"/>
      <c r="C498" s="12"/>
      <c r="D498" s="12"/>
      <c r="E498" s="12"/>
      <c r="F498" s="12"/>
      <c r="G498" s="12"/>
      <c r="H498" s="13"/>
      <c r="I498" s="13"/>
      <c r="J498" s="12"/>
    </row>
    <row r="499" spans="1:10">
      <c r="A499" s="16"/>
      <c r="B499" s="12"/>
      <c r="C499" s="12"/>
      <c r="D499" s="12"/>
      <c r="E499" s="12"/>
      <c r="F499" s="12"/>
      <c r="G499" s="12"/>
      <c r="H499" s="13"/>
      <c r="I499" s="13"/>
      <c r="J499" s="12"/>
    </row>
    <row r="500" spans="1:10">
      <c r="A500" s="16"/>
      <c r="B500" s="12"/>
      <c r="C500" s="12"/>
      <c r="D500" s="12"/>
      <c r="E500" s="12"/>
      <c r="F500" s="12"/>
      <c r="G500" s="12"/>
      <c r="H500" s="13"/>
      <c r="I500" s="13"/>
      <c r="J500" s="12"/>
    </row>
    <row r="501" spans="1:10">
      <c r="A501" s="16"/>
      <c r="B501" s="12"/>
      <c r="C501" s="12"/>
      <c r="D501" s="12"/>
      <c r="E501" s="12"/>
      <c r="F501" s="12"/>
      <c r="G501" s="12"/>
      <c r="H501" s="13"/>
      <c r="I501" s="13"/>
      <c r="J501" s="12"/>
    </row>
    <row r="502" spans="1:10">
      <c r="A502" s="16"/>
      <c r="B502" s="12"/>
      <c r="C502" s="12"/>
      <c r="D502" s="12"/>
      <c r="E502" s="12"/>
      <c r="F502" s="12"/>
      <c r="G502" s="12"/>
      <c r="H502" s="13"/>
      <c r="I502" s="13"/>
      <c r="J502" s="12"/>
    </row>
    <row r="503" spans="1:10">
      <c r="A503" s="16"/>
      <c r="B503" s="12"/>
      <c r="C503" s="12"/>
      <c r="D503" s="12"/>
      <c r="E503" s="12"/>
      <c r="F503" s="12"/>
      <c r="G503" s="12"/>
      <c r="H503" s="13"/>
      <c r="I503" s="13"/>
      <c r="J503" s="12"/>
    </row>
    <row r="504" spans="1:10">
      <c r="A504" s="16"/>
      <c r="B504" s="12"/>
      <c r="C504" s="12"/>
      <c r="D504" s="12"/>
      <c r="E504" s="12"/>
      <c r="F504" s="12"/>
      <c r="G504" s="12"/>
      <c r="H504" s="13"/>
      <c r="I504" s="13"/>
      <c r="J504" s="12"/>
    </row>
    <row r="505" spans="1:10">
      <c r="A505" s="16"/>
      <c r="B505" s="12"/>
      <c r="C505" s="12"/>
      <c r="D505" s="12"/>
      <c r="E505" s="12"/>
      <c r="F505" s="12"/>
      <c r="G505" s="12"/>
      <c r="H505" s="13"/>
      <c r="I505" s="13"/>
      <c r="J505" s="12"/>
    </row>
    <row r="506" spans="1:10">
      <c r="A506" s="16"/>
      <c r="B506" s="12"/>
      <c r="C506" s="12"/>
      <c r="D506" s="12"/>
      <c r="E506" s="12"/>
      <c r="F506" s="12"/>
      <c r="G506" s="12"/>
      <c r="H506" s="13"/>
      <c r="I506" s="13"/>
      <c r="J506" s="12"/>
    </row>
    <row r="507" spans="1:10">
      <c r="A507" s="16"/>
      <c r="B507" s="12"/>
      <c r="C507" s="12"/>
      <c r="D507" s="12"/>
      <c r="E507" s="12"/>
      <c r="F507" s="12"/>
      <c r="G507" s="12"/>
      <c r="H507" s="13"/>
      <c r="I507" s="13"/>
      <c r="J507" s="12"/>
    </row>
    <row r="508" spans="1:10">
      <c r="A508" s="16"/>
      <c r="B508" s="12"/>
      <c r="C508" s="12"/>
      <c r="D508" s="12"/>
      <c r="E508" s="12"/>
      <c r="F508" s="12"/>
      <c r="G508" s="12"/>
      <c r="H508" s="13"/>
      <c r="I508" s="13"/>
      <c r="J508" s="12"/>
    </row>
    <row r="509" spans="1:10">
      <c r="A509" s="16"/>
      <c r="B509" s="12"/>
      <c r="C509" s="12"/>
      <c r="D509" s="12"/>
      <c r="E509" s="12"/>
      <c r="F509" s="12"/>
      <c r="G509" s="12"/>
      <c r="H509" s="13"/>
      <c r="I509" s="13"/>
      <c r="J509" s="12"/>
    </row>
    <row r="510" spans="1:10">
      <c r="A510" s="16"/>
      <c r="B510" s="12"/>
      <c r="C510" s="12"/>
      <c r="D510" s="12"/>
      <c r="E510" s="12"/>
      <c r="F510" s="12"/>
      <c r="G510" s="12"/>
      <c r="H510" s="13"/>
      <c r="I510" s="13"/>
      <c r="J510" s="12"/>
    </row>
    <row r="511" spans="1:10">
      <c r="A511" s="16"/>
      <c r="B511" s="12"/>
      <c r="C511" s="12"/>
      <c r="D511" s="12"/>
      <c r="E511" s="12"/>
      <c r="F511" s="12"/>
      <c r="G511" s="12"/>
      <c r="H511" s="13"/>
      <c r="I511" s="13"/>
      <c r="J511" s="12"/>
    </row>
    <row r="512" spans="1:10">
      <c r="A512" s="16"/>
      <c r="B512" s="12"/>
      <c r="C512" s="12"/>
      <c r="D512" s="12"/>
      <c r="E512" s="12"/>
      <c r="F512" s="12"/>
      <c r="G512" s="12"/>
      <c r="H512" s="13"/>
      <c r="I512" s="13"/>
      <c r="J512" s="12"/>
    </row>
    <row r="513" spans="1:10">
      <c r="A513" s="16"/>
      <c r="B513" s="12"/>
      <c r="C513" s="12"/>
      <c r="D513" s="12"/>
      <c r="E513" s="12"/>
      <c r="F513" s="12"/>
      <c r="G513" s="12"/>
      <c r="H513" s="13"/>
      <c r="I513" s="13"/>
      <c r="J513" s="12"/>
    </row>
    <row r="514" spans="1:10">
      <c r="A514" s="16"/>
      <c r="B514" s="12"/>
      <c r="C514" s="12"/>
      <c r="D514" s="12"/>
      <c r="E514" s="12"/>
      <c r="F514" s="12"/>
      <c r="G514" s="12"/>
      <c r="H514" s="13"/>
      <c r="I514" s="13"/>
      <c r="J514" s="12"/>
    </row>
    <row r="515" spans="1:10">
      <c r="A515" s="16"/>
      <c r="B515" s="12"/>
      <c r="C515" s="12"/>
      <c r="D515" s="12"/>
      <c r="E515" s="12"/>
      <c r="F515" s="12"/>
      <c r="G515" s="12"/>
      <c r="H515" s="13"/>
      <c r="I515" s="13"/>
      <c r="J515" s="12"/>
    </row>
    <row r="516" spans="1:10">
      <c r="A516" s="16"/>
      <c r="B516" s="12"/>
      <c r="C516" s="12"/>
      <c r="D516" s="12"/>
      <c r="E516" s="12"/>
      <c r="F516" s="12"/>
      <c r="G516" s="12"/>
      <c r="H516" s="13"/>
      <c r="I516" s="13"/>
      <c r="J516" s="12"/>
    </row>
    <row r="517" spans="1:10">
      <c r="A517" s="16"/>
      <c r="B517" s="12"/>
      <c r="C517" s="12"/>
      <c r="D517" s="12"/>
      <c r="E517" s="12"/>
      <c r="F517" s="12"/>
      <c r="G517" s="12"/>
      <c r="H517" s="13"/>
      <c r="I517" s="13"/>
      <c r="J517" s="12"/>
    </row>
    <row r="518" spans="1:10">
      <c r="A518" s="16"/>
      <c r="B518" s="12"/>
      <c r="C518" s="12"/>
      <c r="D518" s="12"/>
      <c r="E518" s="12"/>
      <c r="F518" s="12"/>
      <c r="G518" s="12"/>
      <c r="H518" s="13"/>
      <c r="I518" s="13"/>
      <c r="J518" s="12"/>
    </row>
    <row r="519" spans="1:10">
      <c r="A519" s="16"/>
      <c r="B519" s="12"/>
      <c r="C519" s="12"/>
      <c r="D519" s="12"/>
      <c r="E519" s="12"/>
      <c r="F519" s="12"/>
      <c r="G519" s="12"/>
      <c r="H519" s="13"/>
      <c r="I519" s="13"/>
      <c r="J519" s="12"/>
    </row>
    <row r="520" spans="1:10">
      <c r="A520" s="16"/>
      <c r="B520" s="12"/>
      <c r="C520" s="12"/>
      <c r="D520" s="12"/>
      <c r="E520" s="12"/>
      <c r="F520" s="12"/>
      <c r="G520" s="12"/>
      <c r="H520" s="13"/>
      <c r="I520" s="13"/>
      <c r="J520" s="12"/>
    </row>
    <row r="521" spans="1:10">
      <c r="A521" s="16"/>
      <c r="B521" s="12"/>
      <c r="C521" s="12"/>
      <c r="D521" s="12"/>
      <c r="E521" s="12"/>
      <c r="F521" s="12"/>
      <c r="G521" s="12"/>
      <c r="H521" s="13"/>
      <c r="I521" s="13"/>
      <c r="J521" s="12"/>
    </row>
    <row r="522" spans="1:10">
      <c r="A522" s="16"/>
      <c r="B522" s="12"/>
      <c r="C522" s="12"/>
      <c r="D522" s="12"/>
      <c r="E522" s="12"/>
      <c r="F522" s="12"/>
      <c r="G522" s="12"/>
      <c r="H522" s="13"/>
      <c r="I522" s="13"/>
      <c r="J522" s="12"/>
    </row>
    <row r="523" spans="1:10">
      <c r="A523" s="16"/>
      <c r="B523" s="12"/>
      <c r="C523" s="12"/>
      <c r="D523" s="12"/>
      <c r="E523" s="12"/>
      <c r="F523" s="12"/>
      <c r="G523" s="12"/>
      <c r="H523" s="13"/>
      <c r="I523" s="13"/>
      <c r="J523" s="12"/>
    </row>
    <row r="524" spans="1:10">
      <c r="A524" s="16"/>
      <c r="B524" s="12"/>
      <c r="C524" s="12"/>
      <c r="D524" s="12"/>
      <c r="E524" s="12"/>
      <c r="F524" s="12"/>
      <c r="G524" s="12"/>
      <c r="H524" s="13"/>
      <c r="I524" s="13"/>
      <c r="J524" s="12"/>
    </row>
    <row r="525" spans="1:10">
      <c r="A525" s="16"/>
      <c r="B525" s="12"/>
      <c r="C525" s="12"/>
      <c r="D525" s="12"/>
      <c r="E525" s="12"/>
      <c r="F525" s="12"/>
      <c r="G525" s="12"/>
      <c r="H525" s="13"/>
      <c r="I525" s="13"/>
      <c r="J525" s="12"/>
    </row>
    <row r="526" spans="1:10">
      <c r="A526" s="16"/>
      <c r="B526" s="12"/>
      <c r="C526" s="12"/>
      <c r="D526" s="12"/>
      <c r="E526" s="12"/>
      <c r="F526" s="12"/>
      <c r="G526" s="12"/>
      <c r="H526" s="13"/>
      <c r="I526" s="13"/>
      <c r="J526" s="12"/>
    </row>
    <row r="527" spans="1:10">
      <c r="A527" s="16"/>
      <c r="B527" s="12"/>
      <c r="C527" s="12"/>
      <c r="D527" s="12"/>
      <c r="E527" s="12"/>
      <c r="F527" s="12"/>
      <c r="G527" s="12"/>
      <c r="H527" s="13"/>
      <c r="I527" s="13"/>
      <c r="J527" s="12"/>
    </row>
    <row r="528" spans="1:10">
      <c r="A528" s="16"/>
      <c r="B528" s="12"/>
      <c r="C528" s="12"/>
      <c r="D528" s="12"/>
      <c r="E528" s="12"/>
      <c r="F528" s="12"/>
      <c r="G528" s="12"/>
      <c r="H528" s="13"/>
      <c r="I528" s="13"/>
      <c r="J528" s="12"/>
    </row>
    <row r="529" spans="1:10">
      <c r="A529" s="16"/>
      <c r="B529" s="12"/>
      <c r="C529" s="12"/>
      <c r="D529" s="12"/>
      <c r="E529" s="12"/>
      <c r="F529" s="12"/>
      <c r="G529" s="12"/>
      <c r="H529" s="13"/>
      <c r="I529" s="13"/>
      <c r="J529" s="12"/>
    </row>
    <row r="530" spans="1:10">
      <c r="A530" s="16"/>
      <c r="B530" s="12"/>
      <c r="C530" s="12"/>
      <c r="D530" s="12"/>
      <c r="E530" s="12"/>
      <c r="F530" s="12"/>
      <c r="G530" s="12"/>
      <c r="H530" s="13"/>
      <c r="I530" s="13"/>
      <c r="J530" s="12"/>
    </row>
    <row r="531" spans="1:10">
      <c r="A531" s="16"/>
      <c r="B531" s="12"/>
      <c r="C531" s="12"/>
      <c r="D531" s="12"/>
      <c r="E531" s="12"/>
      <c r="F531" s="12"/>
      <c r="G531" s="12"/>
      <c r="H531" s="13"/>
      <c r="I531" s="13"/>
      <c r="J531" s="12"/>
    </row>
    <row r="532" spans="1:10">
      <c r="A532" s="16"/>
      <c r="B532" s="12"/>
      <c r="C532" s="12"/>
      <c r="D532" s="12"/>
      <c r="E532" s="12"/>
      <c r="F532" s="12"/>
      <c r="G532" s="12"/>
      <c r="H532" s="13"/>
      <c r="I532" s="13"/>
      <c r="J532" s="12"/>
    </row>
    <row r="533" spans="1:10">
      <c r="A533" s="16"/>
      <c r="B533" s="12"/>
      <c r="C533" s="12"/>
      <c r="D533" s="12"/>
      <c r="E533" s="12"/>
      <c r="F533" s="12"/>
      <c r="G533" s="12"/>
      <c r="H533" s="13"/>
      <c r="I533" s="13"/>
      <c r="J533" s="12"/>
    </row>
    <row r="534" spans="1:10">
      <c r="A534" s="16"/>
      <c r="B534" s="12"/>
      <c r="C534" s="12"/>
      <c r="D534" s="12"/>
      <c r="E534" s="12"/>
      <c r="F534" s="12"/>
      <c r="G534" s="12"/>
      <c r="H534" s="13"/>
      <c r="I534" s="13"/>
      <c r="J534" s="12"/>
    </row>
    <row r="535" spans="1:10">
      <c r="A535" s="16"/>
      <c r="B535" s="12"/>
      <c r="C535" s="12"/>
      <c r="D535" s="12"/>
      <c r="E535" s="12"/>
      <c r="F535" s="12"/>
      <c r="G535" s="12"/>
      <c r="H535" s="13"/>
      <c r="I535" s="13"/>
      <c r="J535" s="12"/>
    </row>
    <row r="536" spans="1:10">
      <c r="A536" s="16"/>
      <c r="B536" s="12"/>
      <c r="C536" s="12"/>
      <c r="D536" s="12"/>
      <c r="E536" s="12"/>
      <c r="F536" s="12"/>
      <c r="G536" s="12"/>
      <c r="H536" s="13"/>
      <c r="I536" s="13"/>
      <c r="J536" s="12"/>
    </row>
    <row r="537" spans="1:10">
      <c r="A537" s="16"/>
      <c r="B537" s="12"/>
      <c r="C537" s="12"/>
      <c r="D537" s="12"/>
      <c r="E537" s="12"/>
      <c r="F537" s="12"/>
      <c r="G537" s="12"/>
      <c r="H537" s="13"/>
      <c r="I537" s="13"/>
      <c r="J537" s="12"/>
    </row>
    <row r="538" spans="1:10">
      <c r="A538" s="16"/>
      <c r="B538" s="12"/>
      <c r="C538" s="12"/>
      <c r="D538" s="12"/>
      <c r="E538" s="12"/>
      <c r="F538" s="12"/>
      <c r="G538" s="12"/>
      <c r="H538" s="13"/>
      <c r="I538" s="13"/>
      <c r="J538" s="12"/>
    </row>
    <row r="539" spans="1:10">
      <c r="A539" s="16"/>
      <c r="B539" s="12"/>
      <c r="C539" s="12"/>
      <c r="D539" s="12"/>
      <c r="E539" s="12"/>
      <c r="F539" s="12"/>
      <c r="G539" s="12"/>
      <c r="H539" s="13"/>
      <c r="I539" s="13"/>
      <c r="J539" s="12"/>
    </row>
    <row r="540" spans="1:10">
      <c r="A540" s="16"/>
      <c r="B540" s="12"/>
      <c r="C540" s="12"/>
      <c r="D540" s="12"/>
      <c r="E540" s="12"/>
      <c r="F540" s="12"/>
      <c r="G540" s="12"/>
      <c r="H540" s="13"/>
      <c r="I540" s="13"/>
      <c r="J540" s="12"/>
    </row>
    <row r="541" spans="1:10">
      <c r="A541" s="16"/>
      <c r="B541" s="12"/>
      <c r="C541" s="12"/>
      <c r="D541" s="12"/>
      <c r="E541" s="12"/>
      <c r="F541" s="12"/>
      <c r="G541" s="12"/>
      <c r="H541" s="13"/>
      <c r="I541" s="13"/>
      <c r="J541" s="12"/>
    </row>
    <row r="542" spans="1:10">
      <c r="A542" s="16"/>
      <c r="B542" s="12"/>
      <c r="C542" s="12"/>
      <c r="D542" s="12"/>
      <c r="E542" s="12"/>
      <c r="F542" s="12"/>
      <c r="G542" s="12"/>
      <c r="H542" s="13"/>
      <c r="I542" s="13"/>
      <c r="J542" s="12"/>
    </row>
    <row r="543" spans="1:10">
      <c r="A543" s="16"/>
      <c r="B543" s="12"/>
      <c r="C543" s="12"/>
      <c r="D543" s="12"/>
      <c r="E543" s="12"/>
      <c r="F543" s="12"/>
      <c r="G543" s="12"/>
      <c r="H543" s="13"/>
      <c r="I543" s="13"/>
      <c r="J543" s="12"/>
    </row>
    <row r="544" spans="1:10">
      <c r="A544" s="16"/>
      <c r="B544" s="12"/>
      <c r="C544" s="12"/>
      <c r="D544" s="12"/>
      <c r="E544" s="12"/>
      <c r="F544" s="12"/>
      <c r="G544" s="12"/>
      <c r="H544" s="13"/>
      <c r="I544" s="13"/>
      <c r="J544" s="12"/>
    </row>
    <row r="545" spans="1:10">
      <c r="A545" s="16"/>
      <c r="B545" s="12"/>
      <c r="C545" s="12"/>
      <c r="D545" s="12"/>
      <c r="E545" s="12"/>
      <c r="F545" s="12"/>
      <c r="G545" s="12"/>
      <c r="H545" s="13"/>
      <c r="I545" s="13"/>
      <c r="J545" s="12"/>
    </row>
    <row r="546" spans="1:10">
      <c r="A546" s="16"/>
      <c r="B546" s="12"/>
      <c r="C546" s="12"/>
      <c r="D546" s="12"/>
      <c r="E546" s="12"/>
      <c r="F546" s="12"/>
      <c r="G546" s="12"/>
      <c r="H546" s="13"/>
      <c r="I546" s="13"/>
      <c r="J546" s="12"/>
    </row>
    <row r="547" spans="1:10">
      <c r="A547" s="16"/>
      <c r="B547" s="12"/>
      <c r="C547" s="12"/>
      <c r="D547" s="12"/>
      <c r="E547" s="12"/>
      <c r="F547" s="12"/>
      <c r="G547" s="12"/>
      <c r="H547" s="13"/>
      <c r="I547" s="13"/>
      <c r="J547" s="12"/>
    </row>
    <row r="548" spans="1:10">
      <c r="A548" s="16"/>
      <c r="B548" s="12"/>
      <c r="C548" s="12"/>
      <c r="D548" s="12"/>
      <c r="E548" s="12"/>
      <c r="F548" s="12"/>
      <c r="G548" s="12"/>
      <c r="H548" s="13"/>
      <c r="I548" s="13"/>
      <c r="J548" s="12"/>
    </row>
    <row r="549" spans="1:10">
      <c r="A549" s="16"/>
      <c r="B549" s="12"/>
      <c r="C549" s="12"/>
      <c r="D549" s="12"/>
      <c r="E549" s="12"/>
      <c r="F549" s="12"/>
      <c r="G549" s="12"/>
      <c r="H549" s="13"/>
      <c r="I549" s="13"/>
      <c r="J549" s="12"/>
    </row>
    <row r="550" spans="1:10">
      <c r="A550" s="16"/>
      <c r="B550" s="12"/>
      <c r="C550" s="12"/>
      <c r="D550" s="12"/>
      <c r="E550" s="12"/>
      <c r="F550" s="12"/>
      <c r="G550" s="12"/>
      <c r="H550" s="13"/>
      <c r="I550" s="13"/>
      <c r="J550" s="12"/>
    </row>
    <row r="551" spans="1:10">
      <c r="A551" s="16"/>
      <c r="B551" s="12"/>
      <c r="C551" s="12"/>
      <c r="D551" s="12"/>
      <c r="E551" s="12"/>
      <c r="F551" s="12"/>
      <c r="G551" s="12"/>
      <c r="H551" s="13"/>
      <c r="I551" s="13"/>
      <c r="J551" s="12"/>
    </row>
    <row r="552" spans="1:10">
      <c r="A552" s="16"/>
      <c r="B552" s="12"/>
      <c r="C552" s="12"/>
      <c r="D552" s="12"/>
      <c r="E552" s="12"/>
      <c r="F552" s="12"/>
      <c r="G552" s="12"/>
      <c r="H552" s="13"/>
      <c r="I552" s="13"/>
      <c r="J552" s="12"/>
    </row>
    <row r="553" spans="1:10">
      <c r="A553" s="16"/>
      <c r="B553" s="12"/>
      <c r="C553" s="12"/>
      <c r="D553" s="12"/>
      <c r="E553" s="12"/>
      <c r="F553" s="12"/>
      <c r="G553" s="12"/>
      <c r="H553" s="13"/>
      <c r="I553" s="13"/>
      <c r="J553" s="12"/>
    </row>
    <row r="554" spans="1:10">
      <c r="A554" s="16"/>
      <c r="B554" s="12"/>
      <c r="C554" s="12"/>
      <c r="D554" s="12"/>
      <c r="E554" s="12"/>
      <c r="F554" s="12"/>
      <c r="G554" s="12"/>
      <c r="H554" s="13"/>
      <c r="I554" s="13"/>
      <c r="J554" s="12"/>
    </row>
    <row r="555" spans="1:10">
      <c r="A555" s="16"/>
      <c r="B555" s="12"/>
      <c r="C555" s="12"/>
      <c r="D555" s="12"/>
      <c r="E555" s="12"/>
      <c r="F555" s="12"/>
      <c r="G555" s="12"/>
      <c r="H555" s="13"/>
      <c r="I555" s="13"/>
      <c r="J555" s="12"/>
    </row>
  </sheetData>
  <autoFilter ref="A1:K183" xr:uid="{00000000-0001-0000-0200-000000000000}"/>
  <phoneticPr fontId="11" type="noConversion"/>
  <pageMargins left="0.74805557727813721" right="0.74805557727813721" top="0.98430556058883667" bottom="0.98430556058883667" header="0.51138889789581299" footer="0.51138889789581299"/>
  <pageSetup paperSize="9" scale="61"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EBAC-4C99-9241-B399-838506606871}">
  <dimension ref="B1:O78"/>
  <sheetViews>
    <sheetView workbookViewId="0">
      <selection activeCell="I6" sqref="I6"/>
    </sheetView>
  </sheetViews>
  <sheetFormatPr defaultColWidth="11" defaultRowHeight="16.5"/>
  <cols>
    <col min="2" max="2" width="10.875" style="125"/>
    <col min="3" max="3" width="22.875" bestFit="1" customWidth="1"/>
    <col min="6" max="6" width="22.875" bestFit="1" customWidth="1"/>
    <col min="13" max="13" width="13" bestFit="1" customWidth="1"/>
  </cols>
  <sheetData>
    <row r="1" spans="2:15">
      <c r="B1" s="129" t="s">
        <v>364</v>
      </c>
      <c r="C1" s="127"/>
      <c r="E1" s="128" t="s">
        <v>365</v>
      </c>
      <c r="I1" s="132" t="s">
        <v>366</v>
      </c>
      <c r="J1" s="131" t="s">
        <v>367</v>
      </c>
      <c r="K1" s="132" t="s">
        <v>368</v>
      </c>
      <c r="L1" s="131" t="s">
        <v>369</v>
      </c>
      <c r="M1" s="132" t="s">
        <v>370</v>
      </c>
      <c r="N1" s="131" t="s">
        <v>371</v>
      </c>
      <c r="O1" s="130"/>
    </row>
    <row r="2" spans="2:15" ht="41.25" customHeight="1">
      <c r="B2" s="126">
        <v>1</v>
      </c>
      <c r="C2" s="21" t="s">
        <v>372</v>
      </c>
      <c r="E2" s="126">
        <v>1</v>
      </c>
      <c r="F2" s="21" t="s">
        <v>372</v>
      </c>
    </row>
    <row r="3" spans="2:15" ht="41.25" customHeight="1">
      <c r="B3" s="126">
        <v>2</v>
      </c>
      <c r="C3" s="23" t="s">
        <v>373</v>
      </c>
      <c r="E3" s="126">
        <v>2</v>
      </c>
      <c r="F3" s="23" t="s">
        <v>373</v>
      </c>
    </row>
    <row r="4" spans="2:15" ht="41.25" customHeight="1">
      <c r="B4" s="126">
        <v>3</v>
      </c>
      <c r="C4" s="27" t="s">
        <v>374</v>
      </c>
      <c r="E4" s="126">
        <v>3</v>
      </c>
      <c r="F4" s="27" t="s">
        <v>374</v>
      </c>
    </row>
    <row r="5" spans="2:15" ht="41.25" customHeight="1">
      <c r="B5" s="126">
        <v>4</v>
      </c>
      <c r="C5" s="23" t="s">
        <v>375</v>
      </c>
      <c r="E5" s="126">
        <v>4</v>
      </c>
      <c r="F5" s="23" t="s">
        <v>375</v>
      </c>
    </row>
    <row r="6" spans="2:15" ht="41.25" customHeight="1">
      <c r="B6" s="126">
        <v>5</v>
      </c>
      <c r="C6" s="21" t="s">
        <v>376</v>
      </c>
      <c r="E6" s="126">
        <v>5</v>
      </c>
      <c r="F6" s="21" t="s">
        <v>376</v>
      </c>
    </row>
    <row r="7" spans="2:15" ht="41.25" customHeight="1">
      <c r="B7" s="126">
        <v>6</v>
      </c>
      <c r="C7" s="24" t="s">
        <v>377</v>
      </c>
      <c r="E7" s="126">
        <v>6</v>
      </c>
      <c r="F7" s="24" t="s">
        <v>378</v>
      </c>
    </row>
    <row r="8" spans="2:15" ht="41.25" customHeight="1">
      <c r="B8" s="126">
        <v>8</v>
      </c>
      <c r="C8" s="21" t="s">
        <v>379</v>
      </c>
      <c r="E8" s="126">
        <v>8</v>
      </c>
      <c r="F8" s="21" t="s">
        <v>380</v>
      </c>
    </row>
    <row r="9" spans="2:15" ht="41.25" customHeight="1">
      <c r="B9" s="126">
        <v>9</v>
      </c>
      <c r="C9" s="24" t="s">
        <v>381</v>
      </c>
      <c r="E9" s="126">
        <v>9</v>
      </c>
      <c r="F9" s="23" t="s">
        <v>379</v>
      </c>
    </row>
    <row r="10" spans="2:15" ht="41.25" customHeight="1">
      <c r="B10" s="126">
        <v>10</v>
      </c>
      <c r="C10" s="21" t="s">
        <v>382</v>
      </c>
      <c r="E10" s="126">
        <v>10</v>
      </c>
      <c r="F10" s="21" t="s">
        <v>383</v>
      </c>
    </row>
    <row r="11" spans="2:15" ht="41.25" customHeight="1">
      <c r="B11" s="126">
        <v>11</v>
      </c>
      <c r="C11" s="23" t="s">
        <v>384</v>
      </c>
      <c r="E11" s="126">
        <v>11</v>
      </c>
      <c r="F11" s="24" t="s">
        <v>381</v>
      </c>
    </row>
    <row r="12" spans="2:15" ht="41.25" customHeight="1">
      <c r="B12" s="126">
        <v>12</v>
      </c>
      <c r="C12" s="21" t="s">
        <v>122</v>
      </c>
      <c r="E12" s="126">
        <v>12</v>
      </c>
      <c r="F12" s="21" t="s">
        <v>382</v>
      </c>
    </row>
    <row r="13" spans="2:15" ht="41.25" customHeight="1">
      <c r="B13" s="126">
        <v>13</v>
      </c>
      <c r="C13" s="23" t="s">
        <v>385</v>
      </c>
      <c r="E13" s="126">
        <v>13</v>
      </c>
      <c r="F13" s="24" t="s">
        <v>386</v>
      </c>
    </row>
    <row r="14" spans="2:15" ht="41.25" customHeight="1">
      <c r="B14" s="126">
        <v>14</v>
      </c>
      <c r="C14" s="27" t="s">
        <v>387</v>
      </c>
      <c r="E14" s="126">
        <v>14</v>
      </c>
      <c r="F14" s="27" t="s">
        <v>388</v>
      </c>
    </row>
    <row r="15" spans="2:15" ht="41.25" customHeight="1">
      <c r="B15" s="126">
        <v>15</v>
      </c>
      <c r="C15" s="24" t="s">
        <v>389</v>
      </c>
      <c r="E15" s="126">
        <v>15</v>
      </c>
      <c r="F15" s="23" t="s">
        <v>385</v>
      </c>
    </row>
    <row r="16" spans="2:15" ht="41.25" customHeight="1">
      <c r="B16" s="126">
        <v>16</v>
      </c>
      <c r="C16" s="27" t="s">
        <v>390</v>
      </c>
      <c r="E16" s="126">
        <v>16</v>
      </c>
      <c r="F16" s="27" t="s">
        <v>387</v>
      </c>
    </row>
    <row r="17" spans="2:6" ht="41.25" customHeight="1">
      <c r="B17" s="126">
        <v>17</v>
      </c>
      <c r="C17" s="24" t="s">
        <v>391</v>
      </c>
      <c r="E17" s="126">
        <v>17</v>
      </c>
      <c r="F17" s="24" t="s">
        <v>389</v>
      </c>
    </row>
    <row r="18" spans="2:6" ht="41.25" customHeight="1">
      <c r="B18" s="126">
        <v>18</v>
      </c>
      <c r="C18" s="27" t="s">
        <v>392</v>
      </c>
      <c r="E18" s="126">
        <v>18</v>
      </c>
      <c r="F18" s="27" t="s">
        <v>390</v>
      </c>
    </row>
    <row r="19" spans="2:6" ht="41.25" customHeight="1">
      <c r="B19" s="126">
        <v>19</v>
      </c>
      <c r="C19" s="23" t="s">
        <v>393</v>
      </c>
      <c r="E19" s="126">
        <v>19</v>
      </c>
      <c r="F19" s="24" t="s">
        <v>391</v>
      </c>
    </row>
    <row r="20" spans="2:6" ht="41.25" customHeight="1">
      <c r="B20" s="126">
        <v>20</v>
      </c>
      <c r="C20" s="27" t="s">
        <v>394</v>
      </c>
      <c r="E20" s="126">
        <v>20</v>
      </c>
      <c r="F20" s="27" t="s">
        <v>392</v>
      </c>
    </row>
    <row r="21" spans="2:6" ht="41.25" customHeight="1">
      <c r="B21" s="126">
        <v>21</v>
      </c>
      <c r="C21" s="24" t="s">
        <v>395</v>
      </c>
      <c r="E21" s="126">
        <v>21</v>
      </c>
      <c r="F21" s="23" t="s">
        <v>393</v>
      </c>
    </row>
    <row r="22" spans="2:6" ht="41.25" customHeight="1">
      <c r="B22" s="126">
        <v>22</v>
      </c>
      <c r="C22" s="27" t="s">
        <v>396</v>
      </c>
      <c r="E22" s="126">
        <v>22</v>
      </c>
      <c r="F22" s="27" t="s">
        <v>394</v>
      </c>
    </row>
    <row r="23" spans="2:6" ht="41.25" customHeight="1">
      <c r="B23" s="126">
        <v>23</v>
      </c>
      <c r="C23" s="24" t="s">
        <v>397</v>
      </c>
      <c r="E23" s="126">
        <v>23</v>
      </c>
      <c r="F23" s="24" t="s">
        <v>395</v>
      </c>
    </row>
    <row r="24" spans="2:6" ht="41.25" customHeight="1">
      <c r="B24" s="126">
        <v>24</v>
      </c>
      <c r="C24" s="27" t="s">
        <v>398</v>
      </c>
      <c r="E24" s="126">
        <v>24</v>
      </c>
      <c r="F24" s="27" t="s">
        <v>396</v>
      </c>
    </row>
    <row r="25" spans="2:6" ht="41.25" customHeight="1">
      <c r="B25" s="126">
        <v>25</v>
      </c>
      <c r="C25" s="24" t="s">
        <v>399</v>
      </c>
      <c r="E25" s="126">
        <v>25</v>
      </c>
      <c r="F25" s="24" t="s">
        <v>397</v>
      </c>
    </row>
    <row r="26" spans="2:6">
      <c r="B26" s="126">
        <v>26</v>
      </c>
      <c r="C26" s="27" t="s">
        <v>400</v>
      </c>
      <c r="E26" s="126">
        <v>26</v>
      </c>
      <c r="F26" s="27" t="s">
        <v>401</v>
      </c>
    </row>
    <row r="27" spans="2:6" ht="22.5">
      <c r="E27" s="126">
        <v>27</v>
      </c>
      <c r="F27" s="23" t="s">
        <v>402</v>
      </c>
    </row>
    <row r="28" spans="2:6">
      <c r="E28" s="126">
        <v>28</v>
      </c>
      <c r="F28" s="23" t="s">
        <v>403</v>
      </c>
    </row>
    <row r="29" spans="2:6">
      <c r="E29" s="126">
        <v>29</v>
      </c>
      <c r="F29" s="27" t="s">
        <v>404</v>
      </c>
    </row>
    <row r="30" spans="2:6">
      <c r="E30" s="126">
        <v>30</v>
      </c>
      <c r="F30" s="24" t="s">
        <v>399</v>
      </c>
    </row>
    <row r="31" spans="2:6">
      <c r="E31" s="126">
        <v>31</v>
      </c>
      <c r="F31" s="27" t="s">
        <v>398</v>
      </c>
    </row>
    <row r="32" spans="2:6">
      <c r="E32" s="126">
        <v>32</v>
      </c>
      <c r="F32" s="24" t="s">
        <v>49</v>
      </c>
    </row>
    <row r="33" spans="5:6">
      <c r="E33" s="126">
        <v>33</v>
      </c>
      <c r="F33" s="27" t="s">
        <v>405</v>
      </c>
    </row>
    <row r="34" spans="5:6">
      <c r="E34" s="126">
        <v>34</v>
      </c>
      <c r="F34" s="24" t="s">
        <v>406</v>
      </c>
    </row>
    <row r="35" spans="5:6">
      <c r="E35" s="126">
        <v>35</v>
      </c>
      <c r="F35" s="27" t="s">
        <v>407</v>
      </c>
    </row>
    <row r="36" spans="5:6">
      <c r="E36" s="126">
        <v>36</v>
      </c>
      <c r="F36" s="24" t="s">
        <v>408</v>
      </c>
    </row>
    <row r="37" spans="5:6">
      <c r="E37" s="126">
        <v>37</v>
      </c>
      <c r="F37" s="27" t="s">
        <v>409</v>
      </c>
    </row>
    <row r="38" spans="5:6">
      <c r="E38" s="126">
        <v>38</v>
      </c>
      <c r="F38" s="24" t="s">
        <v>410</v>
      </c>
    </row>
    <row r="39" spans="5:6">
      <c r="E39" s="126">
        <v>39</v>
      </c>
      <c r="F39" s="27" t="s">
        <v>411</v>
      </c>
    </row>
    <row r="40" spans="5:6">
      <c r="E40" s="126">
        <v>40</v>
      </c>
      <c r="F40" s="24" t="s">
        <v>412</v>
      </c>
    </row>
    <row r="41" spans="5:6">
      <c r="E41" s="126">
        <v>41</v>
      </c>
      <c r="F41" s="27" t="s">
        <v>413</v>
      </c>
    </row>
    <row r="42" spans="5:6">
      <c r="E42" s="126">
        <v>42</v>
      </c>
      <c r="F42" s="24" t="s">
        <v>414</v>
      </c>
    </row>
    <row r="43" spans="5:6">
      <c r="E43" s="126">
        <v>43</v>
      </c>
      <c r="F43" s="27" t="s">
        <v>415</v>
      </c>
    </row>
    <row r="44" spans="5:6">
      <c r="E44" s="126">
        <v>44</v>
      </c>
      <c r="F44" s="23" t="s">
        <v>416</v>
      </c>
    </row>
    <row r="45" spans="5:6">
      <c r="E45" s="126">
        <v>45</v>
      </c>
      <c r="F45" s="27" t="s">
        <v>417</v>
      </c>
    </row>
    <row r="46" spans="5:6">
      <c r="E46" s="126">
        <v>46</v>
      </c>
      <c r="F46" s="24" t="s">
        <v>418</v>
      </c>
    </row>
    <row r="47" spans="5:6">
      <c r="E47" s="126">
        <v>47</v>
      </c>
      <c r="F47" s="27" t="s">
        <v>419</v>
      </c>
    </row>
    <row r="48" spans="5:6">
      <c r="E48" s="126">
        <v>48</v>
      </c>
      <c r="F48" s="24" t="s">
        <v>420</v>
      </c>
    </row>
    <row r="49" spans="5:6">
      <c r="E49" s="126">
        <v>49</v>
      </c>
      <c r="F49" s="27" t="s">
        <v>421</v>
      </c>
    </row>
    <row r="50" spans="5:6">
      <c r="E50" s="126">
        <v>50</v>
      </c>
      <c r="F50" s="24" t="s">
        <v>422</v>
      </c>
    </row>
    <row r="51" spans="5:6">
      <c r="E51" s="126">
        <v>51</v>
      </c>
      <c r="F51" s="27" t="s">
        <v>423</v>
      </c>
    </row>
    <row r="52" spans="5:6">
      <c r="E52" s="126">
        <v>52</v>
      </c>
      <c r="F52" s="24" t="s">
        <v>424</v>
      </c>
    </row>
    <row r="53" spans="5:6">
      <c r="E53" s="126">
        <v>53</v>
      </c>
      <c r="F53" s="27" t="s">
        <v>425</v>
      </c>
    </row>
    <row r="54" spans="5:6">
      <c r="E54" s="126">
        <v>54</v>
      </c>
      <c r="F54" s="23" t="s">
        <v>426</v>
      </c>
    </row>
    <row r="55" spans="5:6">
      <c r="E55" s="126">
        <v>55</v>
      </c>
      <c r="F55" s="21" t="s">
        <v>427</v>
      </c>
    </row>
    <row r="56" spans="5:6">
      <c r="E56" s="126">
        <v>56</v>
      </c>
      <c r="F56" s="24" t="s">
        <v>428</v>
      </c>
    </row>
    <row r="57" spans="5:6">
      <c r="E57" s="126">
        <v>57</v>
      </c>
      <c r="F57" s="27" t="s">
        <v>429</v>
      </c>
    </row>
    <row r="58" spans="5:6">
      <c r="E58" s="126">
        <v>58</v>
      </c>
      <c r="F58" s="23" t="s">
        <v>430</v>
      </c>
    </row>
    <row r="59" spans="5:6">
      <c r="E59" s="126">
        <v>59</v>
      </c>
      <c r="F59" s="21" t="s">
        <v>431</v>
      </c>
    </row>
    <row r="60" spans="5:6">
      <c r="E60" s="126">
        <v>60</v>
      </c>
      <c r="F60" s="24" t="s">
        <v>432</v>
      </c>
    </row>
    <row r="61" spans="5:6">
      <c r="E61" s="126">
        <v>61</v>
      </c>
      <c r="F61" s="27" t="s">
        <v>433</v>
      </c>
    </row>
    <row r="62" spans="5:6">
      <c r="E62" s="126">
        <v>62</v>
      </c>
      <c r="F62" s="24" t="s">
        <v>434</v>
      </c>
    </row>
    <row r="63" spans="5:6">
      <c r="E63" s="126">
        <v>63</v>
      </c>
      <c r="F63" s="27" t="s">
        <v>435</v>
      </c>
    </row>
    <row r="64" spans="5:6">
      <c r="E64" s="126">
        <v>64</v>
      </c>
      <c r="F64" s="24" t="s">
        <v>436</v>
      </c>
    </row>
    <row r="65" spans="5:6">
      <c r="E65" s="126">
        <v>65</v>
      </c>
      <c r="F65" s="21" t="s">
        <v>437</v>
      </c>
    </row>
    <row r="66" spans="5:6">
      <c r="E66" s="126">
        <v>66</v>
      </c>
      <c r="F66" s="23" t="s">
        <v>438</v>
      </c>
    </row>
    <row r="67" spans="5:6">
      <c r="E67" s="126">
        <v>67</v>
      </c>
      <c r="F67" s="27" t="s">
        <v>439</v>
      </c>
    </row>
    <row r="68" spans="5:6">
      <c r="E68" s="126">
        <v>68</v>
      </c>
      <c r="F68" s="24" t="s">
        <v>440</v>
      </c>
    </row>
    <row r="69" spans="5:6">
      <c r="E69" s="126">
        <v>69</v>
      </c>
      <c r="F69" s="21" t="s">
        <v>441</v>
      </c>
    </row>
    <row r="70" spans="5:6">
      <c r="E70" s="126">
        <v>70</v>
      </c>
      <c r="F70" s="24" t="s">
        <v>442</v>
      </c>
    </row>
    <row r="71" spans="5:6">
      <c r="E71" s="126">
        <v>71</v>
      </c>
      <c r="F71" s="27" t="s">
        <v>443</v>
      </c>
    </row>
    <row r="72" spans="5:6">
      <c r="E72" s="126">
        <v>72</v>
      </c>
      <c r="F72" s="24" t="s">
        <v>444</v>
      </c>
    </row>
    <row r="73" spans="5:6">
      <c r="E73" s="126">
        <v>73</v>
      </c>
      <c r="F73" s="31" t="s">
        <v>445</v>
      </c>
    </row>
    <row r="74" spans="5:6">
      <c r="E74" s="126">
        <v>74</v>
      </c>
      <c r="F74" s="24" t="s">
        <v>446</v>
      </c>
    </row>
    <row r="75" spans="5:6">
      <c r="E75" s="126">
        <v>75</v>
      </c>
      <c r="F75" s="27" t="s">
        <v>447</v>
      </c>
    </row>
    <row r="76" spans="5:6">
      <c r="E76" s="126">
        <v>76</v>
      </c>
      <c r="F76" s="24" t="s">
        <v>448</v>
      </c>
    </row>
    <row r="77" spans="5:6">
      <c r="E77" s="126">
        <v>77</v>
      </c>
      <c r="F77" s="27" t="s">
        <v>449</v>
      </c>
    </row>
    <row r="78" spans="5:6">
      <c r="E78" s="126">
        <v>78</v>
      </c>
      <c r="F78" s="24" t="s">
        <v>450</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B6B85-55D0-406D-BA24-56F1FCA7EB24}">
  <dimension ref="A1:CI1048576"/>
  <sheetViews>
    <sheetView zoomScale="55" zoomScaleNormal="55" workbookViewId="0">
      <pane ySplit="1" topLeftCell="A449" activePane="bottomLeft" state="frozen"/>
      <selection pane="bottomLeft" activeCell="H457" sqref="H457"/>
    </sheetView>
  </sheetViews>
  <sheetFormatPr defaultColWidth="9" defaultRowHeight="78" customHeight="1"/>
  <cols>
    <col min="1" max="1" width="8.625" style="157" customWidth="1"/>
    <col min="2" max="2" width="18.125" style="149" customWidth="1"/>
    <col min="3" max="3" width="18" style="292" customWidth="1"/>
    <col min="4" max="4" width="11.625" style="296" bestFit="1" customWidth="1"/>
    <col min="5" max="5" width="54.125" style="149" customWidth="1"/>
    <col min="6" max="6" width="76" style="156" customWidth="1"/>
    <col min="7" max="7" width="18.125" style="149" customWidth="1"/>
    <col min="8" max="8" width="54.125" style="156" customWidth="1"/>
    <col min="9" max="9" width="26.625" style="149" customWidth="1"/>
    <col min="10" max="12" width="9" style="149"/>
    <col min="13" max="13" width="18.125" style="149" customWidth="1"/>
    <col min="14" max="16384" width="9" style="149"/>
  </cols>
  <sheetData>
    <row r="1" spans="1:16" ht="78" customHeight="1">
      <c r="A1" s="203" t="s">
        <v>1245</v>
      </c>
      <c r="B1" s="204" t="s">
        <v>1246</v>
      </c>
      <c r="C1" s="205" t="s">
        <v>1247</v>
      </c>
      <c r="D1" s="203" t="s">
        <v>1248</v>
      </c>
      <c r="E1" s="203" t="s">
        <v>1249</v>
      </c>
      <c r="F1" s="203" t="s">
        <v>1250</v>
      </c>
      <c r="G1" s="203" t="s">
        <v>1251</v>
      </c>
      <c r="H1" s="203" t="s">
        <v>1252</v>
      </c>
      <c r="I1" s="206" t="s">
        <v>1253</v>
      </c>
      <c r="J1" s="206" t="s">
        <v>1254</v>
      </c>
    </row>
    <row r="2" spans="1:16" ht="78" customHeight="1">
      <c r="A2" s="207">
        <v>1</v>
      </c>
      <c r="B2" s="152">
        <v>45656</v>
      </c>
      <c r="C2" s="153">
        <v>45664</v>
      </c>
      <c r="D2" s="149" t="s">
        <v>1317</v>
      </c>
      <c r="E2" s="149" t="s">
        <v>1318</v>
      </c>
      <c r="F2" s="154" t="s">
        <v>1319</v>
      </c>
      <c r="G2" s="155" t="s">
        <v>1258</v>
      </c>
      <c r="H2" s="156" t="s">
        <v>1320</v>
      </c>
      <c r="I2" s="149" t="s">
        <v>1017</v>
      </c>
      <c r="J2" s="155"/>
    </row>
    <row r="3" spans="1:16" ht="78" customHeight="1">
      <c r="A3" s="207">
        <v>2</v>
      </c>
      <c r="B3" s="152">
        <v>45657</v>
      </c>
      <c r="C3" s="153">
        <v>45665</v>
      </c>
      <c r="D3" s="149" t="s">
        <v>1321</v>
      </c>
      <c r="E3" s="149" t="s">
        <v>1322</v>
      </c>
      <c r="F3" s="154" t="s">
        <v>1323</v>
      </c>
      <c r="G3" s="155" t="s">
        <v>1258</v>
      </c>
      <c r="I3" s="149" t="s">
        <v>937</v>
      </c>
      <c r="J3" s="167"/>
    </row>
    <row r="4" spans="1:16" ht="78" customHeight="1">
      <c r="A4" s="207">
        <v>3</v>
      </c>
      <c r="B4" s="152">
        <v>45659</v>
      </c>
      <c r="C4" s="152">
        <v>45659</v>
      </c>
      <c r="D4" s="149" t="s">
        <v>1281</v>
      </c>
      <c r="E4" s="149" t="s">
        <v>1324</v>
      </c>
      <c r="F4" s="154" t="s">
        <v>1325</v>
      </c>
      <c r="G4" s="155" t="s">
        <v>1258</v>
      </c>
      <c r="H4" s="156" t="s">
        <v>1326</v>
      </c>
      <c r="I4" s="149" t="s">
        <v>972</v>
      </c>
      <c r="J4" s="155"/>
      <c r="K4" s="181"/>
    </row>
    <row r="5" spans="1:16" ht="78" customHeight="1">
      <c r="A5" s="207">
        <v>4</v>
      </c>
      <c r="B5" s="152">
        <v>45660</v>
      </c>
      <c r="C5" s="152">
        <v>45660</v>
      </c>
      <c r="D5" s="149" t="s">
        <v>1281</v>
      </c>
      <c r="E5" s="149" t="s">
        <v>1324</v>
      </c>
      <c r="F5" s="156" t="s">
        <v>1327</v>
      </c>
      <c r="G5" s="155" t="s">
        <v>1258</v>
      </c>
      <c r="H5" s="154" t="s">
        <v>1328</v>
      </c>
      <c r="I5" s="149" t="s">
        <v>932</v>
      </c>
      <c r="J5" s="167"/>
      <c r="K5" s="171"/>
    </row>
    <row r="6" spans="1:16" ht="78" customHeight="1">
      <c r="A6" s="207">
        <v>5</v>
      </c>
      <c r="B6" s="152">
        <v>45659</v>
      </c>
      <c r="C6" s="152">
        <v>45659</v>
      </c>
      <c r="D6" s="149" t="s">
        <v>1321</v>
      </c>
      <c r="E6" s="149" t="s">
        <v>1329</v>
      </c>
      <c r="F6" s="154" t="s">
        <v>1330</v>
      </c>
      <c r="G6" s="155" t="s">
        <v>1258</v>
      </c>
      <c r="I6" s="149" t="s">
        <v>982</v>
      </c>
      <c r="J6" s="166"/>
      <c r="K6" s="161"/>
      <c r="L6" s="161"/>
    </row>
    <row r="7" spans="1:16" ht="78" customHeight="1">
      <c r="A7" s="207">
        <v>6</v>
      </c>
      <c r="B7" s="152">
        <v>45659</v>
      </c>
      <c r="C7" s="152">
        <v>45659</v>
      </c>
      <c r="D7" s="149" t="s">
        <v>1321</v>
      </c>
      <c r="E7" s="149" t="s">
        <v>1331</v>
      </c>
      <c r="F7" s="154" t="s">
        <v>1332</v>
      </c>
      <c r="G7" s="155" t="s">
        <v>1258</v>
      </c>
      <c r="I7" s="149" t="s">
        <v>1333</v>
      </c>
      <c r="J7" s="167"/>
    </row>
    <row r="8" spans="1:16" ht="78" customHeight="1">
      <c r="A8" s="207">
        <v>7</v>
      </c>
      <c r="B8" s="152">
        <v>45659</v>
      </c>
      <c r="C8" s="152">
        <v>45659</v>
      </c>
      <c r="D8" s="149" t="s">
        <v>1321</v>
      </c>
      <c r="E8" s="149" t="s">
        <v>1334</v>
      </c>
      <c r="F8" s="154" t="s">
        <v>1335</v>
      </c>
      <c r="G8" s="155" t="s">
        <v>1258</v>
      </c>
      <c r="I8" s="149" t="s">
        <v>937</v>
      </c>
      <c r="J8" s="158"/>
    </row>
    <row r="9" spans="1:16" ht="78" customHeight="1">
      <c r="A9" s="207">
        <v>8</v>
      </c>
      <c r="B9" s="152">
        <v>45659</v>
      </c>
      <c r="C9" s="152">
        <v>45659</v>
      </c>
      <c r="D9" s="149" t="s">
        <v>1321</v>
      </c>
      <c r="E9" s="149" t="s">
        <v>1336</v>
      </c>
      <c r="F9" s="154" t="s">
        <v>1337</v>
      </c>
      <c r="G9" s="155" t="s">
        <v>1258</v>
      </c>
      <c r="I9" s="149" t="s">
        <v>937</v>
      </c>
    </row>
    <row r="10" spans="1:16" ht="78" customHeight="1">
      <c r="A10" s="207">
        <v>9</v>
      </c>
      <c r="B10" s="152">
        <v>45660</v>
      </c>
      <c r="C10" s="152">
        <v>45660</v>
      </c>
      <c r="D10" s="149" t="s">
        <v>1321</v>
      </c>
      <c r="E10" s="149" t="s">
        <v>1338</v>
      </c>
      <c r="F10" s="154" t="s">
        <v>1339</v>
      </c>
      <c r="G10" s="155" t="s">
        <v>1258</v>
      </c>
      <c r="I10" s="149" t="s">
        <v>997</v>
      </c>
    </row>
    <row r="11" spans="1:16" ht="78" customHeight="1">
      <c r="A11" s="207">
        <v>10</v>
      </c>
      <c r="B11" s="152">
        <v>45660</v>
      </c>
      <c r="C11" s="152">
        <v>45660</v>
      </c>
      <c r="D11" s="149" t="s">
        <v>1321</v>
      </c>
      <c r="E11" s="149" t="s">
        <v>1340</v>
      </c>
      <c r="F11" s="154" t="s">
        <v>1341</v>
      </c>
      <c r="G11" s="155" t="s">
        <v>1258</v>
      </c>
      <c r="I11" s="149" t="s">
        <v>942</v>
      </c>
    </row>
    <row r="12" spans="1:16" ht="78" customHeight="1">
      <c r="A12" s="207">
        <v>11</v>
      </c>
      <c r="B12" s="152">
        <v>45660</v>
      </c>
      <c r="C12" s="152">
        <v>45660</v>
      </c>
      <c r="D12" s="149" t="s">
        <v>1321</v>
      </c>
      <c r="E12" s="149" t="s">
        <v>1336</v>
      </c>
      <c r="F12" s="154" t="s">
        <v>1342</v>
      </c>
      <c r="G12" s="155" t="s">
        <v>1258</v>
      </c>
      <c r="I12" s="149" t="s">
        <v>937</v>
      </c>
    </row>
    <row r="13" spans="1:16" ht="78" customHeight="1">
      <c r="A13" s="207">
        <v>12</v>
      </c>
      <c r="B13" s="152">
        <v>45660</v>
      </c>
      <c r="C13" s="153">
        <v>45665</v>
      </c>
      <c r="D13" s="149" t="s">
        <v>1321</v>
      </c>
      <c r="E13" s="149" t="s">
        <v>1343</v>
      </c>
      <c r="F13" s="154" t="s">
        <v>1344</v>
      </c>
      <c r="G13" s="155" t="s">
        <v>1258</v>
      </c>
      <c r="H13" s="154"/>
      <c r="I13" s="149" t="s">
        <v>982</v>
      </c>
      <c r="J13" s="155"/>
    </row>
    <row r="14" spans="1:16" ht="78" customHeight="1">
      <c r="A14" s="207">
        <v>13</v>
      </c>
      <c r="B14" s="152">
        <v>45659</v>
      </c>
      <c r="C14" s="208">
        <v>45663</v>
      </c>
      <c r="D14" s="149" t="s">
        <v>1345</v>
      </c>
      <c r="E14" s="149" t="s">
        <v>1346</v>
      </c>
      <c r="F14" s="154" t="s">
        <v>1347</v>
      </c>
      <c r="G14" s="155" t="s">
        <v>1258</v>
      </c>
      <c r="H14" s="154" t="s">
        <v>1348</v>
      </c>
      <c r="I14" s="149" t="s">
        <v>982</v>
      </c>
      <c r="J14" s="166"/>
      <c r="K14" s="181"/>
    </row>
    <row r="15" spans="1:16" ht="78" customHeight="1">
      <c r="A15" s="207">
        <v>14</v>
      </c>
      <c r="B15" s="152">
        <v>45659</v>
      </c>
      <c r="C15" s="208">
        <v>45663</v>
      </c>
      <c r="D15" s="149" t="s">
        <v>1345</v>
      </c>
      <c r="E15" s="149" t="s">
        <v>1349</v>
      </c>
      <c r="F15" s="154" t="s">
        <v>1350</v>
      </c>
      <c r="G15" s="155" t="s">
        <v>1258</v>
      </c>
      <c r="H15" s="154" t="s">
        <v>1351</v>
      </c>
      <c r="I15" s="149" t="s">
        <v>982</v>
      </c>
      <c r="J15" s="168"/>
      <c r="K15" s="171"/>
    </row>
    <row r="16" spans="1:16" ht="78" customHeight="1">
      <c r="A16" s="207">
        <v>15</v>
      </c>
      <c r="B16" s="152">
        <v>45660</v>
      </c>
      <c r="C16" s="208">
        <v>45663</v>
      </c>
      <c r="D16" s="149" t="s">
        <v>1345</v>
      </c>
      <c r="E16" s="149" t="s">
        <v>1352</v>
      </c>
      <c r="F16" s="154" t="s">
        <v>1353</v>
      </c>
      <c r="G16" s="155" t="s">
        <v>1258</v>
      </c>
      <c r="H16" s="154" t="s">
        <v>1354</v>
      </c>
      <c r="I16" s="149" t="s">
        <v>982</v>
      </c>
      <c r="J16" s="170"/>
      <c r="K16" s="166"/>
      <c r="L16" s="176"/>
      <c r="M16" s="166"/>
      <c r="N16" s="181"/>
      <c r="O16" s="176"/>
      <c r="P16" s="181"/>
    </row>
    <row r="17" spans="1:16" ht="78" customHeight="1">
      <c r="A17" s="207">
        <v>16</v>
      </c>
      <c r="B17" s="152">
        <v>45660</v>
      </c>
      <c r="C17" s="208">
        <v>45663</v>
      </c>
      <c r="D17" s="149" t="s">
        <v>1345</v>
      </c>
      <c r="E17" s="149" t="s">
        <v>1355</v>
      </c>
      <c r="F17" s="154" t="s">
        <v>1356</v>
      </c>
      <c r="G17" s="155" t="s">
        <v>1258</v>
      </c>
      <c r="H17" s="154" t="s">
        <v>1357</v>
      </c>
      <c r="I17" s="149" t="s">
        <v>1007</v>
      </c>
      <c r="K17" s="170"/>
      <c r="L17" s="182"/>
      <c r="M17" s="209"/>
      <c r="N17" s="158"/>
      <c r="O17" s="182"/>
      <c r="P17" s="158"/>
    </row>
    <row r="18" spans="1:16" ht="78" customHeight="1">
      <c r="A18" s="207">
        <v>17</v>
      </c>
      <c r="B18" s="152">
        <v>45660</v>
      </c>
      <c r="C18" s="152">
        <v>45660</v>
      </c>
      <c r="D18" s="149" t="s">
        <v>1281</v>
      </c>
      <c r="E18" s="149" t="s">
        <v>1358</v>
      </c>
      <c r="F18" s="154" t="s">
        <v>1359</v>
      </c>
      <c r="G18" s="155" t="s">
        <v>1258</v>
      </c>
      <c r="H18" s="156" t="s">
        <v>1360</v>
      </c>
      <c r="I18" s="149" t="s">
        <v>1012</v>
      </c>
      <c r="M18" s="159"/>
    </row>
    <row r="19" spans="1:16" ht="78" customHeight="1">
      <c r="A19" s="207">
        <v>18</v>
      </c>
      <c r="B19" s="208">
        <v>45663</v>
      </c>
      <c r="C19" s="208">
        <v>45663</v>
      </c>
      <c r="D19" s="149" t="s">
        <v>1281</v>
      </c>
      <c r="E19" s="210" t="s">
        <v>1361</v>
      </c>
      <c r="F19" s="211" t="s">
        <v>1362</v>
      </c>
      <c r="G19" s="155" t="s">
        <v>1258</v>
      </c>
      <c r="H19" s="180" t="s">
        <v>1363</v>
      </c>
      <c r="I19" s="210" t="s">
        <v>937</v>
      </c>
    </row>
    <row r="20" spans="1:16" ht="78" customHeight="1">
      <c r="A20" s="207">
        <v>19</v>
      </c>
      <c r="B20" s="208">
        <v>45663</v>
      </c>
      <c r="C20" s="208">
        <v>45663</v>
      </c>
      <c r="D20" s="149" t="s">
        <v>1281</v>
      </c>
      <c r="E20" s="212" t="s">
        <v>1324</v>
      </c>
      <c r="F20" s="213" t="s">
        <v>1364</v>
      </c>
      <c r="G20" s="155" t="s">
        <v>1258</v>
      </c>
      <c r="H20" s="156" t="s">
        <v>1365</v>
      </c>
      <c r="I20" s="210" t="s">
        <v>1017</v>
      </c>
    </row>
    <row r="21" spans="1:16" ht="78" customHeight="1">
      <c r="A21" s="207">
        <v>20</v>
      </c>
      <c r="B21" s="208">
        <v>45663</v>
      </c>
      <c r="C21" s="208">
        <v>45663</v>
      </c>
      <c r="D21" s="149" t="s">
        <v>1281</v>
      </c>
      <c r="E21" s="214" t="s">
        <v>1366</v>
      </c>
      <c r="F21" s="215" t="s">
        <v>1367</v>
      </c>
      <c r="G21" s="155" t="s">
        <v>1258</v>
      </c>
      <c r="H21" s="154" t="s">
        <v>1368</v>
      </c>
      <c r="I21" s="210" t="s">
        <v>942</v>
      </c>
    </row>
    <row r="22" spans="1:16" ht="78" customHeight="1">
      <c r="A22" s="207">
        <v>21</v>
      </c>
      <c r="B22" s="208">
        <v>45663</v>
      </c>
      <c r="C22" s="153">
        <v>45667</v>
      </c>
      <c r="D22" s="149" t="s">
        <v>1321</v>
      </c>
      <c r="E22" s="216" t="s">
        <v>1369</v>
      </c>
      <c r="F22" s="217" t="s">
        <v>1370</v>
      </c>
      <c r="G22" s="158" t="s">
        <v>1258</v>
      </c>
      <c r="I22" s="210" t="s">
        <v>932</v>
      </c>
    </row>
    <row r="23" spans="1:16" ht="78" customHeight="1">
      <c r="A23" s="207">
        <v>22</v>
      </c>
      <c r="B23" s="208">
        <v>45663</v>
      </c>
      <c r="C23" s="208">
        <v>45663</v>
      </c>
      <c r="D23" s="169" t="s">
        <v>1281</v>
      </c>
      <c r="E23" s="155" t="s">
        <v>1324</v>
      </c>
      <c r="F23" s="218" t="s">
        <v>1364</v>
      </c>
      <c r="G23" s="181" t="s">
        <v>1258</v>
      </c>
      <c r="H23" s="156" t="s">
        <v>1365</v>
      </c>
      <c r="I23" s="159" t="s">
        <v>972</v>
      </c>
    </row>
    <row r="24" spans="1:16" ht="78" customHeight="1">
      <c r="A24" s="207">
        <v>23</v>
      </c>
      <c r="B24" s="208">
        <v>45663</v>
      </c>
      <c r="C24" s="153">
        <v>45667</v>
      </c>
      <c r="D24" s="169" t="s">
        <v>1321</v>
      </c>
      <c r="E24" s="155" t="s">
        <v>1371</v>
      </c>
      <c r="F24" s="219"/>
      <c r="G24" s="158" t="s">
        <v>1258</v>
      </c>
      <c r="H24" s="220"/>
      <c r="I24" s="158" t="s">
        <v>927</v>
      </c>
    </row>
    <row r="25" spans="1:16" ht="78" customHeight="1">
      <c r="A25" s="207">
        <v>24</v>
      </c>
      <c r="B25" s="208">
        <v>45663</v>
      </c>
      <c r="C25" s="208">
        <v>45663</v>
      </c>
      <c r="D25" s="174" t="s">
        <v>1255</v>
      </c>
      <c r="E25" s="166" t="s">
        <v>1256</v>
      </c>
      <c r="F25" s="165" t="s">
        <v>1257</v>
      </c>
      <c r="G25" s="158" t="s">
        <v>1258</v>
      </c>
      <c r="H25" s="179"/>
      <c r="I25" s="149" t="s">
        <v>1007</v>
      </c>
    </row>
    <row r="26" spans="1:16" ht="78" customHeight="1">
      <c r="A26" s="207">
        <v>25</v>
      </c>
      <c r="B26" s="208">
        <v>45663</v>
      </c>
      <c r="C26" s="208">
        <v>45663</v>
      </c>
      <c r="D26" s="174" t="s">
        <v>1255</v>
      </c>
      <c r="E26" s="166" t="s">
        <v>1256</v>
      </c>
      <c r="F26" s="165" t="s">
        <v>1257</v>
      </c>
      <c r="G26" s="158" t="s">
        <v>1258</v>
      </c>
      <c r="H26" s="163" t="s">
        <v>1372</v>
      </c>
      <c r="I26" s="181" t="s">
        <v>1012</v>
      </c>
    </row>
    <row r="27" spans="1:16" ht="78" customHeight="1">
      <c r="A27" s="207">
        <v>26</v>
      </c>
      <c r="B27" s="152">
        <v>45664</v>
      </c>
      <c r="C27" s="153">
        <v>45667</v>
      </c>
      <c r="D27" s="164" t="s">
        <v>1321</v>
      </c>
      <c r="E27" s="166" t="s">
        <v>1373</v>
      </c>
      <c r="F27" s="163" t="s">
        <v>1374</v>
      </c>
      <c r="G27" s="158" t="s">
        <v>1258</v>
      </c>
      <c r="H27" s="165"/>
      <c r="I27" s="155" t="s">
        <v>982</v>
      </c>
    </row>
    <row r="28" spans="1:16" ht="78" customHeight="1">
      <c r="A28" s="207">
        <v>27</v>
      </c>
      <c r="B28" s="152">
        <v>45664</v>
      </c>
      <c r="C28" s="153">
        <v>45667</v>
      </c>
      <c r="D28" s="149" t="s">
        <v>1321</v>
      </c>
      <c r="E28" s="159" t="s">
        <v>1375</v>
      </c>
      <c r="F28" s="163" t="s">
        <v>1376</v>
      </c>
      <c r="G28" s="158" t="s">
        <v>1258</v>
      </c>
      <c r="H28" s="165"/>
      <c r="I28" s="221" t="s">
        <v>1007</v>
      </c>
    </row>
    <row r="29" spans="1:16" ht="78" customHeight="1">
      <c r="A29" s="207">
        <v>28</v>
      </c>
      <c r="B29" s="152">
        <v>45664</v>
      </c>
      <c r="C29" s="152">
        <v>45664</v>
      </c>
      <c r="D29" s="160" t="s">
        <v>1255</v>
      </c>
      <c r="E29" s="161" t="s">
        <v>1256</v>
      </c>
      <c r="F29" s="162" t="s">
        <v>1257</v>
      </c>
      <c r="G29" s="158" t="s">
        <v>1258</v>
      </c>
      <c r="H29" s="222"/>
      <c r="I29" s="223" t="s">
        <v>942</v>
      </c>
    </row>
    <row r="30" spans="1:16" ht="78" customHeight="1">
      <c r="A30" s="207">
        <v>29</v>
      </c>
      <c r="B30" s="152">
        <v>45664</v>
      </c>
      <c r="C30" s="152">
        <v>45664</v>
      </c>
      <c r="D30" s="160" t="s">
        <v>1255</v>
      </c>
      <c r="E30" s="161" t="s">
        <v>1256</v>
      </c>
      <c r="F30" s="162" t="s">
        <v>1257</v>
      </c>
      <c r="G30" s="158" t="s">
        <v>1258</v>
      </c>
      <c r="H30" s="224"/>
      <c r="I30" s="225" t="s">
        <v>1017</v>
      </c>
    </row>
    <row r="31" spans="1:16" ht="78" customHeight="1">
      <c r="A31" s="207">
        <v>30</v>
      </c>
      <c r="B31" s="152">
        <v>45664</v>
      </c>
      <c r="C31" s="152">
        <v>45664</v>
      </c>
      <c r="D31" s="226" t="s">
        <v>1255</v>
      </c>
      <c r="E31" s="181" t="s">
        <v>1256</v>
      </c>
      <c r="F31" s="179" t="s">
        <v>1257</v>
      </c>
      <c r="G31" s="158" t="s">
        <v>1258</v>
      </c>
      <c r="I31" s="149" t="s">
        <v>977</v>
      </c>
    </row>
    <row r="32" spans="1:16" ht="78" customHeight="1">
      <c r="A32" s="207">
        <v>31</v>
      </c>
      <c r="B32" s="152">
        <v>45664</v>
      </c>
      <c r="C32" s="227">
        <v>45664</v>
      </c>
      <c r="D32" s="210" t="s">
        <v>1281</v>
      </c>
      <c r="E32" s="166" t="s">
        <v>1377</v>
      </c>
      <c r="F32" s="163" t="s">
        <v>1378</v>
      </c>
      <c r="G32" s="158" t="s">
        <v>1258</v>
      </c>
      <c r="H32" s="163" t="s">
        <v>1379</v>
      </c>
      <c r="I32" s="149" t="s">
        <v>987</v>
      </c>
    </row>
    <row r="33" spans="1:9" ht="78" customHeight="1">
      <c r="A33" s="207">
        <v>32</v>
      </c>
      <c r="B33" s="152">
        <v>45664</v>
      </c>
      <c r="C33" s="228">
        <v>45673</v>
      </c>
      <c r="D33" s="160" t="s">
        <v>1317</v>
      </c>
      <c r="E33" s="166" t="s">
        <v>1380</v>
      </c>
      <c r="F33" s="163" t="s">
        <v>1381</v>
      </c>
      <c r="G33" s="158" t="s">
        <v>1258</v>
      </c>
      <c r="H33" s="229" t="s">
        <v>1382</v>
      </c>
      <c r="I33" s="149" t="s">
        <v>1017</v>
      </c>
    </row>
    <row r="34" spans="1:9" ht="78" customHeight="1">
      <c r="A34" s="207">
        <v>33</v>
      </c>
      <c r="B34" s="152">
        <v>45665</v>
      </c>
      <c r="C34" s="152">
        <v>45665</v>
      </c>
      <c r="D34" s="160" t="s">
        <v>1255</v>
      </c>
      <c r="E34" s="166" t="s">
        <v>1256</v>
      </c>
      <c r="F34" s="162" t="s">
        <v>1257</v>
      </c>
      <c r="G34" s="158" t="s">
        <v>1258</v>
      </c>
      <c r="H34" s="230" t="s">
        <v>1383</v>
      </c>
      <c r="I34" s="149" t="s">
        <v>987</v>
      </c>
    </row>
    <row r="35" spans="1:9" ht="78" customHeight="1">
      <c r="A35" s="207">
        <v>34</v>
      </c>
      <c r="B35" s="152">
        <v>45665</v>
      </c>
      <c r="C35" s="152">
        <v>45665</v>
      </c>
      <c r="D35" s="160" t="s">
        <v>1255</v>
      </c>
      <c r="E35" s="161" t="s">
        <v>1256</v>
      </c>
      <c r="F35" s="162" t="s">
        <v>1257</v>
      </c>
      <c r="G35" s="158" t="s">
        <v>1258</v>
      </c>
      <c r="H35" s="162"/>
      <c r="I35" s="149" t="s">
        <v>937</v>
      </c>
    </row>
    <row r="36" spans="1:9" ht="78" customHeight="1">
      <c r="A36" s="207">
        <v>35</v>
      </c>
      <c r="B36" s="152">
        <v>45665</v>
      </c>
      <c r="C36" s="152">
        <v>45665</v>
      </c>
      <c r="D36" s="149" t="s">
        <v>1321</v>
      </c>
      <c r="E36" s="167" t="s">
        <v>1384</v>
      </c>
      <c r="F36" s="154" t="s">
        <v>1385</v>
      </c>
      <c r="G36" s="158" t="s">
        <v>1258</v>
      </c>
      <c r="H36" s="154"/>
      <c r="I36" s="149" t="s">
        <v>982</v>
      </c>
    </row>
    <row r="37" spans="1:9" ht="78" customHeight="1">
      <c r="A37" s="207">
        <v>36</v>
      </c>
      <c r="B37" s="152">
        <v>45665</v>
      </c>
      <c r="C37" s="152">
        <v>45665</v>
      </c>
      <c r="D37" s="149" t="s">
        <v>1321</v>
      </c>
      <c r="E37" s="155" t="s">
        <v>1386</v>
      </c>
      <c r="F37" s="231" t="s">
        <v>1387</v>
      </c>
      <c r="G37" s="158" t="s">
        <v>1258</v>
      </c>
      <c r="I37" s="149" t="s">
        <v>972</v>
      </c>
    </row>
    <row r="38" spans="1:9" ht="78" customHeight="1">
      <c r="A38" s="207">
        <v>37</v>
      </c>
      <c r="B38" s="152">
        <v>45665</v>
      </c>
      <c r="C38" s="152">
        <v>45667</v>
      </c>
      <c r="D38" s="149" t="s">
        <v>1321</v>
      </c>
      <c r="E38" s="166" t="s">
        <v>1388</v>
      </c>
      <c r="F38" s="232" t="s">
        <v>1389</v>
      </c>
      <c r="G38" s="158" t="s">
        <v>1258</v>
      </c>
      <c r="H38" s="233"/>
      <c r="I38" s="149" t="s">
        <v>972</v>
      </c>
    </row>
    <row r="39" spans="1:9" ht="78" customHeight="1">
      <c r="A39" s="207">
        <v>38</v>
      </c>
      <c r="B39" s="152">
        <v>45665</v>
      </c>
      <c r="C39" s="152">
        <v>45665</v>
      </c>
      <c r="D39" s="149" t="s">
        <v>1321</v>
      </c>
      <c r="E39" s="155" t="s">
        <v>1390</v>
      </c>
      <c r="F39" s="231" t="s">
        <v>1391</v>
      </c>
      <c r="G39" s="158" t="s">
        <v>1258</v>
      </c>
      <c r="H39" s="234"/>
      <c r="I39" s="149" t="s">
        <v>1392</v>
      </c>
    </row>
    <row r="40" spans="1:9" ht="78" customHeight="1">
      <c r="A40" s="207">
        <v>39</v>
      </c>
      <c r="B40" s="152">
        <v>45666</v>
      </c>
      <c r="C40" s="153">
        <v>45667</v>
      </c>
      <c r="D40" s="149" t="s">
        <v>1321</v>
      </c>
      <c r="E40" s="155" t="s">
        <v>1393</v>
      </c>
      <c r="F40" s="231" t="s">
        <v>1394</v>
      </c>
      <c r="G40" s="158" t="s">
        <v>1258</v>
      </c>
      <c r="H40" s="235"/>
      <c r="I40" s="149" t="s">
        <v>942</v>
      </c>
    </row>
    <row r="41" spans="1:9" ht="78" customHeight="1">
      <c r="A41" s="207">
        <v>40</v>
      </c>
      <c r="B41" s="152">
        <v>45666</v>
      </c>
      <c r="C41" s="153">
        <v>45667</v>
      </c>
      <c r="D41" s="149" t="s">
        <v>1321</v>
      </c>
      <c r="E41" s="166" t="s">
        <v>1395</v>
      </c>
      <c r="F41" s="236" t="s">
        <v>1396</v>
      </c>
      <c r="G41" s="158" t="s">
        <v>1258</v>
      </c>
      <c r="H41" s="218"/>
      <c r="I41" s="149" t="s">
        <v>972</v>
      </c>
    </row>
    <row r="42" spans="1:9" ht="78" customHeight="1">
      <c r="A42" s="207">
        <v>41</v>
      </c>
      <c r="B42" s="152">
        <v>45666</v>
      </c>
      <c r="C42" s="153">
        <v>45667</v>
      </c>
      <c r="D42" s="149" t="s">
        <v>1321</v>
      </c>
      <c r="E42" s="168" t="s">
        <v>1397</v>
      </c>
      <c r="F42" s="237" t="s">
        <v>1398</v>
      </c>
      <c r="G42" s="158" t="s">
        <v>1258</v>
      </c>
      <c r="H42" s="162"/>
      <c r="I42" s="149" t="s">
        <v>987</v>
      </c>
    </row>
    <row r="43" spans="1:9" ht="78" customHeight="1">
      <c r="A43" s="207">
        <v>42</v>
      </c>
      <c r="B43" s="152">
        <v>45666</v>
      </c>
      <c r="C43" s="153">
        <v>45667</v>
      </c>
      <c r="D43" s="149" t="s">
        <v>1321</v>
      </c>
      <c r="E43" s="164" t="s">
        <v>1399</v>
      </c>
      <c r="F43" s="163" t="s">
        <v>1400</v>
      </c>
      <c r="G43" s="158" t="s">
        <v>1258</v>
      </c>
      <c r="H43" s="165"/>
      <c r="I43" s="149" t="s">
        <v>1401</v>
      </c>
    </row>
    <row r="44" spans="1:9" ht="78" customHeight="1">
      <c r="A44" s="207">
        <v>43</v>
      </c>
      <c r="B44" s="152">
        <v>45666</v>
      </c>
      <c r="C44" s="238">
        <v>45667</v>
      </c>
      <c r="D44" s="149" t="s">
        <v>1321</v>
      </c>
      <c r="E44" s="170" t="s">
        <v>1402</v>
      </c>
      <c r="F44" s="237" t="s">
        <v>1403</v>
      </c>
      <c r="G44" s="171" t="s">
        <v>1258</v>
      </c>
      <c r="H44" s="179"/>
      <c r="I44" s="149" t="s">
        <v>1002</v>
      </c>
    </row>
    <row r="45" spans="1:9" ht="78" customHeight="1">
      <c r="A45" s="207">
        <v>44</v>
      </c>
      <c r="B45" s="152">
        <v>45666</v>
      </c>
      <c r="C45" s="239">
        <v>45667</v>
      </c>
      <c r="D45" s="149" t="s">
        <v>1321</v>
      </c>
      <c r="E45" s="169" t="s">
        <v>1397</v>
      </c>
      <c r="F45" s="163" t="s">
        <v>1404</v>
      </c>
      <c r="G45" s="161" t="s">
        <v>1258</v>
      </c>
      <c r="H45" s="220"/>
      <c r="I45" s="149" t="s">
        <v>997</v>
      </c>
    </row>
    <row r="46" spans="1:9" ht="78" customHeight="1">
      <c r="A46" s="207">
        <v>45</v>
      </c>
      <c r="B46" s="152">
        <v>45666</v>
      </c>
      <c r="C46" s="153">
        <v>45667</v>
      </c>
      <c r="D46" s="149" t="s">
        <v>1321</v>
      </c>
      <c r="E46" s="170" t="s">
        <v>1405</v>
      </c>
      <c r="F46" s="180" t="s">
        <v>1406</v>
      </c>
      <c r="G46" s="158" t="s">
        <v>1258</v>
      </c>
      <c r="H46" s="163"/>
      <c r="I46" s="149" t="s">
        <v>932</v>
      </c>
    </row>
    <row r="47" spans="1:9" ht="78" customHeight="1">
      <c r="A47" s="207">
        <v>46</v>
      </c>
      <c r="B47" s="152">
        <v>45665</v>
      </c>
      <c r="C47" s="240">
        <v>45665</v>
      </c>
      <c r="D47" s="177" t="s">
        <v>1255</v>
      </c>
      <c r="E47" s="166" t="s">
        <v>1256</v>
      </c>
      <c r="F47" s="165" t="s">
        <v>1257</v>
      </c>
      <c r="G47" s="158" t="s">
        <v>1258</v>
      </c>
      <c r="H47" s="179"/>
      <c r="I47" s="149" t="s">
        <v>942</v>
      </c>
    </row>
    <row r="48" spans="1:9" ht="78" customHeight="1">
      <c r="A48" s="207">
        <v>47</v>
      </c>
      <c r="B48" s="152">
        <v>45665</v>
      </c>
      <c r="C48" s="241">
        <v>45665</v>
      </c>
      <c r="D48" s="177" t="s">
        <v>1255</v>
      </c>
      <c r="E48" s="166" t="s">
        <v>1256</v>
      </c>
      <c r="F48" s="162" t="s">
        <v>1257</v>
      </c>
      <c r="G48" s="158" t="s">
        <v>1258</v>
      </c>
      <c r="H48" s="165"/>
      <c r="I48" s="242" t="s">
        <v>1017</v>
      </c>
    </row>
    <row r="49" spans="1:10" ht="78" customHeight="1">
      <c r="A49" s="207">
        <v>48</v>
      </c>
      <c r="B49" s="152">
        <v>45665</v>
      </c>
      <c r="C49" s="152">
        <v>45665</v>
      </c>
      <c r="D49" s="160" t="s">
        <v>1255</v>
      </c>
      <c r="E49" s="161" t="s">
        <v>1256</v>
      </c>
      <c r="F49" s="162" t="s">
        <v>1257</v>
      </c>
      <c r="G49" s="158" t="s">
        <v>1258</v>
      </c>
      <c r="H49" s="165"/>
      <c r="I49" s="164" t="s">
        <v>977</v>
      </c>
      <c r="J49" s="161"/>
    </row>
    <row r="50" spans="1:10" ht="78" customHeight="1">
      <c r="A50" s="207">
        <v>49</v>
      </c>
      <c r="B50" s="152">
        <v>45666</v>
      </c>
      <c r="C50" s="152">
        <v>45666</v>
      </c>
      <c r="D50" s="160" t="s">
        <v>1255</v>
      </c>
      <c r="E50" s="161" t="s">
        <v>1256</v>
      </c>
      <c r="F50" s="162" t="s">
        <v>1257</v>
      </c>
      <c r="G50" s="158" t="s">
        <v>1258</v>
      </c>
      <c r="H50" s="236" t="s">
        <v>1407</v>
      </c>
      <c r="I50" s="149" t="s">
        <v>982</v>
      </c>
    </row>
    <row r="51" spans="1:10" ht="78" customHeight="1">
      <c r="A51" s="207">
        <v>50</v>
      </c>
      <c r="B51" s="152">
        <v>45665</v>
      </c>
      <c r="C51" s="153">
        <v>45667</v>
      </c>
      <c r="D51" s="149" t="s">
        <v>1345</v>
      </c>
      <c r="E51" s="149" t="s">
        <v>1408</v>
      </c>
      <c r="F51" s="243" t="s">
        <v>1409</v>
      </c>
      <c r="G51" s="158" t="s">
        <v>1258</v>
      </c>
      <c r="H51" s="156" t="s">
        <v>1410</v>
      </c>
      <c r="I51" s="149" t="s">
        <v>942</v>
      </c>
    </row>
    <row r="52" spans="1:10" ht="78" customHeight="1">
      <c r="A52" s="207">
        <v>51</v>
      </c>
      <c r="B52" s="152">
        <v>45666</v>
      </c>
      <c r="C52" s="153">
        <v>45667</v>
      </c>
      <c r="D52" s="149" t="s">
        <v>1345</v>
      </c>
      <c r="E52" s="171" t="s">
        <v>1408</v>
      </c>
      <c r="F52" s="244" t="s">
        <v>1411</v>
      </c>
      <c r="G52" s="158" t="s">
        <v>1258</v>
      </c>
      <c r="H52" s="156" t="s">
        <v>1410</v>
      </c>
      <c r="I52" s="149" t="s">
        <v>942</v>
      </c>
    </row>
    <row r="53" spans="1:10" ht="78" customHeight="1">
      <c r="A53" s="207">
        <v>52</v>
      </c>
      <c r="B53" s="153">
        <v>45667</v>
      </c>
      <c r="C53" s="153">
        <v>45667</v>
      </c>
      <c r="D53" s="149" t="s">
        <v>1321</v>
      </c>
      <c r="E53" s="155" t="s">
        <v>1412</v>
      </c>
      <c r="F53" s="231" t="s">
        <v>1413</v>
      </c>
      <c r="G53" s="158" t="s">
        <v>1258</v>
      </c>
      <c r="I53" s="149" t="s">
        <v>1002</v>
      </c>
    </row>
    <row r="54" spans="1:10" ht="78" customHeight="1">
      <c r="A54" s="207">
        <v>53</v>
      </c>
      <c r="B54" s="153">
        <v>45667</v>
      </c>
      <c r="C54" s="153">
        <v>45667</v>
      </c>
      <c r="D54" s="149" t="s">
        <v>1321</v>
      </c>
      <c r="E54" s="159" t="s">
        <v>1414</v>
      </c>
      <c r="F54" s="243" t="s">
        <v>1415</v>
      </c>
      <c r="G54" s="158" t="s">
        <v>1258</v>
      </c>
      <c r="I54" s="149" t="s">
        <v>1002</v>
      </c>
    </row>
    <row r="55" spans="1:10" ht="78" customHeight="1">
      <c r="A55" s="207">
        <v>54</v>
      </c>
      <c r="B55" s="153">
        <v>45667</v>
      </c>
      <c r="C55" s="153">
        <v>45667</v>
      </c>
      <c r="D55" s="149" t="s">
        <v>1321</v>
      </c>
      <c r="E55" s="155" t="s">
        <v>1416</v>
      </c>
      <c r="F55" s="218" t="s">
        <v>1417</v>
      </c>
      <c r="G55" s="158" t="s">
        <v>1258</v>
      </c>
      <c r="I55" s="149" t="s">
        <v>942</v>
      </c>
    </row>
    <row r="56" spans="1:10" ht="78" customHeight="1">
      <c r="A56" s="207">
        <v>55</v>
      </c>
      <c r="B56" s="245">
        <v>45667</v>
      </c>
      <c r="C56" s="153">
        <v>45667</v>
      </c>
      <c r="D56" s="176" t="s">
        <v>1321</v>
      </c>
      <c r="E56" s="155" t="s">
        <v>1418</v>
      </c>
      <c r="F56" s="218" t="s">
        <v>1419</v>
      </c>
      <c r="G56" s="158" t="s">
        <v>1258</v>
      </c>
      <c r="I56" s="149" t="s">
        <v>1002</v>
      </c>
    </row>
    <row r="57" spans="1:10" ht="78" customHeight="1">
      <c r="A57" s="207">
        <v>56</v>
      </c>
      <c r="B57" s="245">
        <v>45667</v>
      </c>
      <c r="C57" s="153">
        <v>45667</v>
      </c>
      <c r="D57" s="176" t="s">
        <v>1321</v>
      </c>
      <c r="E57" s="155" t="s">
        <v>1420</v>
      </c>
      <c r="F57" s="218" t="s">
        <v>1421</v>
      </c>
      <c r="G57" s="158" t="s">
        <v>1258</v>
      </c>
      <c r="H57" s="246"/>
      <c r="I57" s="181" t="s">
        <v>972</v>
      </c>
    </row>
    <row r="58" spans="1:10" ht="78" customHeight="1">
      <c r="A58" s="207">
        <v>57</v>
      </c>
      <c r="B58" s="245">
        <v>45667</v>
      </c>
      <c r="C58" s="152">
        <v>45671</v>
      </c>
      <c r="D58" s="176" t="s">
        <v>1321</v>
      </c>
      <c r="E58" s="166" t="s">
        <v>1422</v>
      </c>
      <c r="F58" s="163" t="s">
        <v>1423</v>
      </c>
      <c r="G58" s="158" t="s">
        <v>1258</v>
      </c>
      <c r="H58" s="247"/>
      <c r="I58" s="158" t="s">
        <v>982</v>
      </c>
    </row>
    <row r="59" spans="1:10" ht="78" customHeight="1">
      <c r="A59" s="207">
        <v>58</v>
      </c>
      <c r="B59" s="245">
        <v>45667</v>
      </c>
      <c r="C59" s="245">
        <v>45667</v>
      </c>
      <c r="D59" s="160" t="s">
        <v>1255</v>
      </c>
      <c r="E59" s="166" t="s">
        <v>1256</v>
      </c>
      <c r="F59" s="162" t="s">
        <v>1257</v>
      </c>
      <c r="G59" s="158" t="s">
        <v>1258</v>
      </c>
      <c r="H59" s="243"/>
      <c r="I59" s="149" t="s">
        <v>992</v>
      </c>
    </row>
    <row r="60" spans="1:10" ht="78" customHeight="1">
      <c r="A60" s="207">
        <v>59</v>
      </c>
      <c r="B60" s="245">
        <v>45667</v>
      </c>
      <c r="C60" s="245">
        <v>45667</v>
      </c>
      <c r="D60" s="160" t="s">
        <v>1255</v>
      </c>
      <c r="E60" s="161" t="s">
        <v>1256</v>
      </c>
      <c r="F60" s="162" t="s">
        <v>1257</v>
      </c>
      <c r="G60" s="158" t="s">
        <v>1258</v>
      </c>
      <c r="I60" s="149" t="s">
        <v>997</v>
      </c>
    </row>
    <row r="61" spans="1:10" ht="78" customHeight="1">
      <c r="A61" s="207">
        <v>60</v>
      </c>
      <c r="B61" s="245">
        <v>45667</v>
      </c>
      <c r="C61" s="245">
        <v>45667</v>
      </c>
      <c r="D61" s="210" t="s">
        <v>1281</v>
      </c>
      <c r="E61" s="171" t="s">
        <v>1424</v>
      </c>
      <c r="F61" s="154" t="s">
        <v>1425</v>
      </c>
      <c r="G61" s="158" t="s">
        <v>1258</v>
      </c>
      <c r="H61" s="154" t="s">
        <v>1426</v>
      </c>
      <c r="I61" s="149" t="s">
        <v>972</v>
      </c>
    </row>
    <row r="62" spans="1:10" ht="78" customHeight="1">
      <c r="A62" s="207">
        <v>61</v>
      </c>
      <c r="B62" s="245">
        <v>45667</v>
      </c>
      <c r="C62" s="152">
        <v>45670</v>
      </c>
      <c r="D62" s="149" t="s">
        <v>1345</v>
      </c>
      <c r="E62" s="169" t="s">
        <v>1427</v>
      </c>
      <c r="F62" s="248" t="s">
        <v>1428</v>
      </c>
      <c r="G62" s="158" t="s">
        <v>1258</v>
      </c>
      <c r="H62" s="154" t="s">
        <v>1429</v>
      </c>
      <c r="I62" s="149" t="s">
        <v>997</v>
      </c>
    </row>
    <row r="63" spans="1:10" ht="78" customHeight="1">
      <c r="A63" s="207">
        <v>62</v>
      </c>
      <c r="B63" s="152">
        <v>45670</v>
      </c>
      <c r="C63" s="152">
        <v>45671</v>
      </c>
      <c r="D63" s="176" t="s">
        <v>1321</v>
      </c>
      <c r="E63" s="155" t="s">
        <v>1430</v>
      </c>
      <c r="F63" s="231" t="s">
        <v>1431</v>
      </c>
      <c r="G63" s="158" t="s">
        <v>1258</v>
      </c>
      <c r="H63" s="247"/>
      <c r="I63" s="149" t="s">
        <v>1002</v>
      </c>
    </row>
    <row r="64" spans="1:10" ht="78" customHeight="1">
      <c r="A64" s="207">
        <v>63</v>
      </c>
      <c r="B64" s="152">
        <v>45670</v>
      </c>
      <c r="C64" s="152">
        <v>45721</v>
      </c>
      <c r="D64" s="176" t="s">
        <v>1321</v>
      </c>
      <c r="E64" s="166" t="s">
        <v>1432</v>
      </c>
      <c r="F64" s="236" t="s">
        <v>1433</v>
      </c>
      <c r="G64" s="158" t="s">
        <v>1258</v>
      </c>
      <c r="H64" s="231" t="s">
        <v>1434</v>
      </c>
      <c r="I64" s="149" t="s">
        <v>982</v>
      </c>
    </row>
    <row r="65" spans="1:11" ht="78" customHeight="1">
      <c r="A65" s="207">
        <v>64</v>
      </c>
      <c r="B65" s="152">
        <v>45670</v>
      </c>
      <c r="C65" s="152">
        <v>45670</v>
      </c>
      <c r="D65" s="160" t="s">
        <v>1255</v>
      </c>
      <c r="E65" s="166" t="s">
        <v>1256</v>
      </c>
      <c r="F65" s="162" t="s">
        <v>1257</v>
      </c>
      <c r="G65" s="158" t="s">
        <v>1258</v>
      </c>
      <c r="H65" s="224"/>
      <c r="I65" s="149" t="s">
        <v>952</v>
      </c>
    </row>
    <row r="66" spans="1:11" ht="78" customHeight="1">
      <c r="A66" s="207">
        <v>65</v>
      </c>
      <c r="B66" s="152">
        <v>45670</v>
      </c>
      <c r="C66" s="152">
        <v>45670</v>
      </c>
      <c r="D66" s="160" t="s">
        <v>1255</v>
      </c>
      <c r="E66" s="161" t="s">
        <v>1256</v>
      </c>
      <c r="F66" s="162" t="s">
        <v>1257</v>
      </c>
      <c r="G66" s="158" t="s">
        <v>1258</v>
      </c>
      <c r="H66" s="220"/>
      <c r="I66" s="149" t="s">
        <v>957</v>
      </c>
    </row>
    <row r="67" spans="1:11" ht="78" customHeight="1">
      <c r="A67" s="207">
        <v>66</v>
      </c>
      <c r="B67" s="152">
        <v>45670</v>
      </c>
      <c r="C67" s="152">
        <v>45670</v>
      </c>
      <c r="D67" s="249" t="s">
        <v>1264</v>
      </c>
      <c r="E67" s="159" t="s">
        <v>1435</v>
      </c>
      <c r="F67" s="237" t="s">
        <v>1436</v>
      </c>
      <c r="G67" s="158" t="s">
        <v>1258</v>
      </c>
      <c r="H67" s="163" t="s">
        <v>1437</v>
      </c>
      <c r="I67" s="149" t="s">
        <v>1012</v>
      </c>
    </row>
    <row r="68" spans="1:11" ht="78" customHeight="1">
      <c r="A68" s="207">
        <v>67</v>
      </c>
      <c r="B68" s="152">
        <v>45670</v>
      </c>
      <c r="C68" s="152">
        <v>45670</v>
      </c>
      <c r="D68" s="160" t="s">
        <v>1255</v>
      </c>
      <c r="E68" s="166" t="s">
        <v>1256</v>
      </c>
      <c r="F68" s="162" t="s">
        <v>1257</v>
      </c>
      <c r="G68" s="158" t="s">
        <v>1258</v>
      </c>
      <c r="H68" s="162"/>
      <c r="I68" s="149" t="s">
        <v>1002</v>
      </c>
    </row>
    <row r="69" spans="1:11" ht="78" customHeight="1">
      <c r="A69" s="207">
        <v>68</v>
      </c>
      <c r="B69" s="152">
        <v>45670</v>
      </c>
      <c r="C69" s="152">
        <v>45670</v>
      </c>
      <c r="D69" s="160" t="s">
        <v>1255</v>
      </c>
      <c r="E69" s="161" t="s">
        <v>1256</v>
      </c>
      <c r="F69" s="162" t="s">
        <v>1257</v>
      </c>
      <c r="G69" s="158" t="s">
        <v>1258</v>
      </c>
      <c r="H69" s="165"/>
      <c r="I69" s="155" t="s">
        <v>962</v>
      </c>
    </row>
    <row r="70" spans="1:11" ht="78" customHeight="1">
      <c r="A70" s="207">
        <v>69</v>
      </c>
      <c r="B70" s="152">
        <v>45671</v>
      </c>
      <c r="C70" s="152">
        <v>45671</v>
      </c>
      <c r="D70" s="176" t="s">
        <v>1321</v>
      </c>
      <c r="E70" s="159" t="s">
        <v>1438</v>
      </c>
      <c r="F70" s="154" t="s">
        <v>1439</v>
      </c>
      <c r="G70" s="158" t="s">
        <v>1258</v>
      </c>
      <c r="H70" s="165"/>
      <c r="I70" s="166" t="s">
        <v>1333</v>
      </c>
    </row>
    <row r="71" spans="1:11" ht="78" customHeight="1">
      <c r="A71" s="207">
        <v>70</v>
      </c>
      <c r="B71" s="152">
        <v>45671</v>
      </c>
      <c r="C71" s="241">
        <v>45673</v>
      </c>
      <c r="D71" s="176" t="s">
        <v>1321</v>
      </c>
      <c r="E71" s="161" t="s">
        <v>1440</v>
      </c>
      <c r="F71" s="231" t="s">
        <v>1441</v>
      </c>
      <c r="G71" s="158" t="s">
        <v>1258</v>
      </c>
      <c r="H71" s="247"/>
      <c r="I71" s="158" t="s">
        <v>1401</v>
      </c>
    </row>
    <row r="72" spans="1:11" ht="78" customHeight="1">
      <c r="A72" s="207">
        <v>71</v>
      </c>
      <c r="B72" s="152">
        <v>45671</v>
      </c>
      <c r="C72" s="152">
        <v>45671</v>
      </c>
      <c r="D72" s="160" t="s">
        <v>1255</v>
      </c>
      <c r="E72" s="166" t="s">
        <v>1256</v>
      </c>
      <c r="F72" s="162" t="s">
        <v>1257</v>
      </c>
      <c r="G72" s="158" t="s">
        <v>1258</v>
      </c>
      <c r="H72" s="220"/>
      <c r="I72" s="181" t="s">
        <v>932</v>
      </c>
    </row>
    <row r="73" spans="1:11" ht="78" customHeight="1">
      <c r="A73" s="207">
        <v>72</v>
      </c>
      <c r="B73" s="152">
        <v>45671</v>
      </c>
      <c r="C73" s="152">
        <v>45671</v>
      </c>
      <c r="D73" s="160" t="s">
        <v>1255</v>
      </c>
      <c r="E73" s="161" t="s">
        <v>1256</v>
      </c>
      <c r="F73" s="162" t="s">
        <v>1257</v>
      </c>
      <c r="G73" s="158" t="s">
        <v>1258</v>
      </c>
      <c r="H73" s="163" t="s">
        <v>1442</v>
      </c>
      <c r="I73" s="181" t="s">
        <v>972</v>
      </c>
      <c r="J73" s="181"/>
    </row>
    <row r="74" spans="1:11" ht="78" customHeight="1">
      <c r="A74" s="207">
        <v>73</v>
      </c>
      <c r="B74" s="152">
        <v>45671</v>
      </c>
      <c r="C74" s="241">
        <v>45673</v>
      </c>
      <c r="D74" s="176" t="s">
        <v>1321</v>
      </c>
      <c r="E74" s="166" t="s">
        <v>1443</v>
      </c>
      <c r="F74" s="163" t="s">
        <v>1444</v>
      </c>
      <c r="G74" s="158" t="s">
        <v>1258</v>
      </c>
      <c r="H74" s="163"/>
      <c r="I74" s="158" t="s">
        <v>1007</v>
      </c>
      <c r="J74" s="158"/>
    </row>
    <row r="75" spans="1:11" ht="78" customHeight="1">
      <c r="A75" s="207">
        <v>74</v>
      </c>
      <c r="B75" s="152">
        <v>45671</v>
      </c>
      <c r="C75" s="241">
        <v>45673</v>
      </c>
      <c r="D75" s="176" t="s">
        <v>1321</v>
      </c>
      <c r="E75" s="166" t="s">
        <v>1445</v>
      </c>
      <c r="F75" s="163" t="s">
        <v>1446</v>
      </c>
      <c r="G75" s="158" t="s">
        <v>1258</v>
      </c>
      <c r="H75" s="165"/>
      <c r="I75" s="149" t="s">
        <v>932</v>
      </c>
    </row>
    <row r="76" spans="1:11" ht="78" customHeight="1">
      <c r="A76" s="207">
        <v>75</v>
      </c>
      <c r="B76" s="152">
        <v>45671</v>
      </c>
      <c r="C76" s="152">
        <v>45672</v>
      </c>
      <c r="D76" s="176" t="s">
        <v>1321</v>
      </c>
      <c r="E76" s="159" t="s">
        <v>1447</v>
      </c>
      <c r="F76" s="180" t="s">
        <v>1448</v>
      </c>
      <c r="G76" s="158" t="s">
        <v>1258</v>
      </c>
      <c r="H76" s="231"/>
      <c r="I76" s="149" t="s">
        <v>1333</v>
      </c>
    </row>
    <row r="77" spans="1:11" ht="78" customHeight="1">
      <c r="A77" s="207">
        <v>76</v>
      </c>
      <c r="B77" s="152">
        <v>45672</v>
      </c>
      <c r="C77" s="152">
        <v>45672</v>
      </c>
      <c r="D77" s="250" t="s">
        <v>1281</v>
      </c>
      <c r="E77" s="168" t="s">
        <v>1449</v>
      </c>
      <c r="F77" s="325" t="s">
        <v>1450</v>
      </c>
      <c r="G77" s="166" t="s">
        <v>1258</v>
      </c>
      <c r="H77" s="163" t="s">
        <v>1451</v>
      </c>
      <c r="I77" s="155" t="s">
        <v>932</v>
      </c>
    </row>
    <row r="78" spans="1:11" ht="78" customHeight="1">
      <c r="A78" s="207">
        <v>77</v>
      </c>
      <c r="B78" s="227">
        <v>45672</v>
      </c>
      <c r="C78" s="241">
        <v>45673</v>
      </c>
      <c r="D78" s="166" t="s">
        <v>1321</v>
      </c>
      <c r="E78" s="181" t="s">
        <v>1452</v>
      </c>
      <c r="F78" s="218" t="s">
        <v>1453</v>
      </c>
      <c r="G78" s="158" t="s">
        <v>1258</v>
      </c>
      <c r="H78" s="163" t="s">
        <v>1454</v>
      </c>
      <c r="I78" s="166" t="s">
        <v>1012</v>
      </c>
      <c r="J78" s="161"/>
    </row>
    <row r="79" spans="1:11" ht="78" customHeight="1">
      <c r="A79" s="207">
        <v>78</v>
      </c>
      <c r="B79" s="251">
        <v>45672</v>
      </c>
      <c r="C79" s="241">
        <v>45673</v>
      </c>
      <c r="D79" s="166" t="s">
        <v>1321</v>
      </c>
      <c r="E79" s="161" t="s">
        <v>1455</v>
      </c>
      <c r="F79" s="219" t="s">
        <v>1456</v>
      </c>
      <c r="G79" s="166" t="s">
        <v>1258</v>
      </c>
      <c r="H79" s="162"/>
      <c r="I79" s="166" t="s">
        <v>1333</v>
      </c>
      <c r="J79" s="158"/>
    </row>
    <row r="80" spans="1:11" ht="78" customHeight="1">
      <c r="A80" s="207">
        <v>79</v>
      </c>
      <c r="B80" s="240">
        <v>45672</v>
      </c>
      <c r="C80" s="241">
        <v>45673</v>
      </c>
      <c r="D80" s="159" t="s">
        <v>1321</v>
      </c>
      <c r="E80" s="149" t="s">
        <v>1457</v>
      </c>
      <c r="F80" s="163" t="s">
        <v>1458</v>
      </c>
      <c r="G80" s="166" t="s">
        <v>1258</v>
      </c>
      <c r="H80" s="163"/>
      <c r="I80" s="166" t="s">
        <v>927</v>
      </c>
      <c r="J80" s="181"/>
      <c r="K80" s="181"/>
    </row>
    <row r="81" spans="1:11" ht="78" customHeight="1">
      <c r="A81" s="207">
        <v>80</v>
      </c>
      <c r="B81" s="251">
        <v>45672</v>
      </c>
      <c r="C81" s="241">
        <v>45673</v>
      </c>
      <c r="D81" s="161" t="s">
        <v>1321</v>
      </c>
      <c r="E81" s="164" t="s">
        <v>1338</v>
      </c>
      <c r="F81" s="218" t="s">
        <v>1459</v>
      </c>
      <c r="G81" s="166" t="s">
        <v>1258</v>
      </c>
      <c r="H81" s="162"/>
      <c r="I81" s="159" t="s">
        <v>927</v>
      </c>
      <c r="J81" s="158"/>
      <c r="K81" s="158"/>
    </row>
    <row r="82" spans="1:11" ht="78" customHeight="1">
      <c r="A82" s="207">
        <v>81</v>
      </c>
      <c r="B82" s="241">
        <v>45673</v>
      </c>
      <c r="C82" s="241">
        <v>45673</v>
      </c>
      <c r="D82" s="158" t="s">
        <v>1321</v>
      </c>
      <c r="E82" s="170" t="s">
        <v>1438</v>
      </c>
      <c r="F82" s="163" t="s">
        <v>1460</v>
      </c>
      <c r="G82" s="166" t="s">
        <v>1258</v>
      </c>
      <c r="H82" s="162"/>
      <c r="I82" s="158" t="s">
        <v>1333</v>
      </c>
      <c r="J82" s="158"/>
    </row>
    <row r="83" spans="1:11" ht="78" customHeight="1">
      <c r="A83" s="207">
        <v>82</v>
      </c>
      <c r="B83" s="241">
        <v>45672</v>
      </c>
      <c r="C83" s="241">
        <v>45673</v>
      </c>
      <c r="D83" s="149" t="s">
        <v>1345</v>
      </c>
      <c r="E83" s="166" t="s">
        <v>1461</v>
      </c>
      <c r="F83" s="180" t="s">
        <v>1462</v>
      </c>
      <c r="G83" s="158" t="s">
        <v>1258</v>
      </c>
      <c r="H83" s="237" t="s">
        <v>1463</v>
      </c>
      <c r="I83" s="171" t="s">
        <v>982</v>
      </c>
    </row>
    <row r="84" spans="1:11" ht="78" customHeight="1">
      <c r="A84" s="207">
        <v>83</v>
      </c>
      <c r="B84" s="228">
        <v>45672</v>
      </c>
      <c r="C84" s="241">
        <v>45673</v>
      </c>
      <c r="D84" s="149" t="s">
        <v>1345</v>
      </c>
      <c r="E84" s="252" t="s">
        <v>1464</v>
      </c>
      <c r="F84" s="163" t="s">
        <v>1465</v>
      </c>
      <c r="G84" s="158" t="s">
        <v>1258</v>
      </c>
      <c r="H84" s="163" t="s">
        <v>1466</v>
      </c>
      <c r="I84" s="161" t="s">
        <v>962</v>
      </c>
    </row>
    <row r="85" spans="1:11" ht="78" customHeight="1">
      <c r="A85" s="207">
        <v>84</v>
      </c>
      <c r="B85" s="152">
        <v>45672</v>
      </c>
      <c r="C85" s="152">
        <v>45672</v>
      </c>
      <c r="D85" s="160" t="s">
        <v>1255</v>
      </c>
      <c r="E85" s="166" t="s">
        <v>1256</v>
      </c>
      <c r="F85" s="165" t="s">
        <v>1257</v>
      </c>
      <c r="G85" s="158" t="s">
        <v>1258</v>
      </c>
      <c r="H85" s="247"/>
      <c r="I85" s="225" t="s">
        <v>947</v>
      </c>
    </row>
    <row r="86" spans="1:11" ht="78" customHeight="1">
      <c r="A86" s="207">
        <v>85</v>
      </c>
      <c r="B86" s="152">
        <v>45672</v>
      </c>
      <c r="C86" s="152">
        <v>45672</v>
      </c>
      <c r="D86" s="160" t="s">
        <v>1255</v>
      </c>
      <c r="E86" s="166" t="s">
        <v>1256</v>
      </c>
      <c r="F86" s="162" t="s">
        <v>1257</v>
      </c>
      <c r="G86" s="158" t="s">
        <v>1258</v>
      </c>
      <c r="H86" s="247"/>
      <c r="I86" s="149" t="s">
        <v>927</v>
      </c>
    </row>
    <row r="87" spans="1:11" ht="78" customHeight="1">
      <c r="A87" s="207">
        <v>86</v>
      </c>
      <c r="B87" s="241">
        <v>45673</v>
      </c>
      <c r="C87" s="241">
        <v>45673</v>
      </c>
      <c r="D87" s="158" t="s">
        <v>1321</v>
      </c>
      <c r="E87" s="159" t="s">
        <v>1467</v>
      </c>
      <c r="F87" s="163" t="s">
        <v>1468</v>
      </c>
      <c r="G87" s="158" t="s">
        <v>1258</v>
      </c>
      <c r="H87" s="224"/>
      <c r="I87" s="149" t="s">
        <v>1333</v>
      </c>
    </row>
    <row r="88" spans="1:11" ht="78" customHeight="1">
      <c r="A88" s="207">
        <v>87</v>
      </c>
      <c r="B88" s="241">
        <v>45673</v>
      </c>
      <c r="C88" s="241">
        <v>45673</v>
      </c>
      <c r="D88" s="158" t="s">
        <v>1321</v>
      </c>
      <c r="E88" s="155" t="s">
        <v>1395</v>
      </c>
      <c r="F88" s="163" t="s">
        <v>1469</v>
      </c>
      <c r="G88" s="158" t="s">
        <v>1258</v>
      </c>
      <c r="H88" s="253"/>
      <c r="I88" s="155" t="s">
        <v>972</v>
      </c>
    </row>
    <row r="89" spans="1:11" ht="78" customHeight="1">
      <c r="A89" s="207">
        <v>88</v>
      </c>
      <c r="B89" s="241">
        <v>45673</v>
      </c>
      <c r="C89" s="241">
        <v>45673</v>
      </c>
      <c r="D89" s="158" t="s">
        <v>1321</v>
      </c>
      <c r="E89" s="166" t="s">
        <v>1470</v>
      </c>
      <c r="F89" s="180" t="s">
        <v>1471</v>
      </c>
      <c r="G89" s="158" t="s">
        <v>1258</v>
      </c>
      <c r="I89" s="167" t="s">
        <v>1333</v>
      </c>
    </row>
    <row r="90" spans="1:11" ht="78" customHeight="1">
      <c r="A90" s="207">
        <v>89</v>
      </c>
      <c r="B90" s="241">
        <v>45673</v>
      </c>
      <c r="C90" s="254">
        <v>45677</v>
      </c>
      <c r="D90" s="158" t="s">
        <v>1321</v>
      </c>
      <c r="E90" s="155" t="s">
        <v>1472</v>
      </c>
      <c r="F90" s="163" t="s">
        <v>1473</v>
      </c>
      <c r="G90" s="158" t="s">
        <v>1258</v>
      </c>
      <c r="H90" s="248"/>
      <c r="I90" s="167" t="s">
        <v>1333</v>
      </c>
    </row>
    <row r="91" spans="1:11" ht="78" customHeight="1">
      <c r="A91" s="207">
        <v>90</v>
      </c>
      <c r="B91" s="241">
        <v>45673</v>
      </c>
      <c r="C91" s="228">
        <v>45674</v>
      </c>
      <c r="D91" s="158" t="s">
        <v>1321</v>
      </c>
      <c r="E91" s="166" t="s">
        <v>1474</v>
      </c>
      <c r="F91" s="163" t="s">
        <v>1475</v>
      </c>
      <c r="G91" s="158" t="s">
        <v>1258</v>
      </c>
      <c r="H91" s="163"/>
      <c r="I91" s="167" t="s">
        <v>1333</v>
      </c>
    </row>
    <row r="92" spans="1:11" ht="78" customHeight="1">
      <c r="A92" s="207">
        <v>91</v>
      </c>
      <c r="B92" s="241">
        <v>45673</v>
      </c>
      <c r="C92" s="241">
        <v>45673</v>
      </c>
      <c r="D92" s="158" t="s">
        <v>1321</v>
      </c>
      <c r="E92" s="166" t="s">
        <v>1470</v>
      </c>
      <c r="F92" s="163" t="s">
        <v>1476</v>
      </c>
      <c r="G92" s="158" t="s">
        <v>1258</v>
      </c>
      <c r="H92" s="163"/>
      <c r="I92" s="166" t="s">
        <v>1333</v>
      </c>
    </row>
    <row r="93" spans="1:11" ht="78" customHeight="1">
      <c r="A93" s="207">
        <v>92</v>
      </c>
      <c r="B93" s="241">
        <v>45673</v>
      </c>
      <c r="C93" s="254">
        <v>45677</v>
      </c>
      <c r="D93" s="149" t="s">
        <v>1345</v>
      </c>
      <c r="E93" s="173" t="s">
        <v>1477</v>
      </c>
      <c r="F93" s="255" t="s">
        <v>1478</v>
      </c>
      <c r="G93" s="158" t="s">
        <v>1258</v>
      </c>
      <c r="H93" s="163" t="s">
        <v>1479</v>
      </c>
      <c r="I93" s="158" t="s">
        <v>982</v>
      </c>
      <c r="J93" s="166"/>
    </row>
    <row r="94" spans="1:11" ht="78" customHeight="1">
      <c r="A94" s="207">
        <v>93</v>
      </c>
      <c r="B94" s="241">
        <v>45673</v>
      </c>
      <c r="C94" s="254">
        <v>45677</v>
      </c>
      <c r="D94" s="149" t="s">
        <v>1345</v>
      </c>
      <c r="E94" s="182" t="s">
        <v>1480</v>
      </c>
      <c r="F94" s="255" t="s">
        <v>1481</v>
      </c>
      <c r="G94" s="158" t="s">
        <v>1258</v>
      </c>
      <c r="H94" s="236" t="s">
        <v>1482</v>
      </c>
      <c r="I94" s="149" t="s">
        <v>1333</v>
      </c>
    </row>
    <row r="95" spans="1:11" ht="78" customHeight="1">
      <c r="A95" s="207">
        <v>94</v>
      </c>
      <c r="B95" s="241">
        <v>45673</v>
      </c>
      <c r="C95" s="241">
        <v>45673</v>
      </c>
      <c r="D95" s="256" t="s">
        <v>1281</v>
      </c>
      <c r="E95" s="149" t="s">
        <v>1483</v>
      </c>
      <c r="F95" s="154" t="s">
        <v>1484</v>
      </c>
      <c r="G95" s="158" t="s">
        <v>1258</v>
      </c>
      <c r="H95" s="220" t="s">
        <v>1485</v>
      </c>
      <c r="I95" s="158" t="s">
        <v>992</v>
      </c>
    </row>
    <row r="96" spans="1:11" ht="78" customHeight="1">
      <c r="A96" s="207">
        <v>95</v>
      </c>
      <c r="B96" s="241">
        <v>45673</v>
      </c>
      <c r="C96" s="241">
        <v>45675</v>
      </c>
      <c r="D96" s="256" t="s">
        <v>1281</v>
      </c>
      <c r="E96" s="155" t="s">
        <v>1377</v>
      </c>
      <c r="F96" s="231" t="s">
        <v>1486</v>
      </c>
      <c r="G96" s="158" t="s">
        <v>1258</v>
      </c>
      <c r="H96" s="218" t="s">
        <v>1487</v>
      </c>
      <c r="I96" s="158" t="s">
        <v>937</v>
      </c>
    </row>
    <row r="97" spans="1:10" ht="78" customHeight="1">
      <c r="A97" s="207">
        <v>96</v>
      </c>
      <c r="B97" s="241">
        <v>45673</v>
      </c>
      <c r="C97" s="228">
        <v>45674</v>
      </c>
      <c r="D97" s="158" t="s">
        <v>1321</v>
      </c>
      <c r="E97" s="167" t="s">
        <v>1470</v>
      </c>
      <c r="F97" s="218" t="s">
        <v>1488</v>
      </c>
      <c r="G97" s="158" t="s">
        <v>1258</v>
      </c>
      <c r="H97" s="165"/>
      <c r="I97" s="161" t="s">
        <v>1333</v>
      </c>
    </row>
    <row r="98" spans="1:10" ht="78" customHeight="1">
      <c r="A98" s="207">
        <v>97</v>
      </c>
      <c r="B98" s="228">
        <v>45674</v>
      </c>
      <c r="C98" s="254">
        <v>45677</v>
      </c>
      <c r="D98" s="158" t="s">
        <v>1321</v>
      </c>
      <c r="E98" s="159" t="s">
        <v>1489</v>
      </c>
      <c r="F98" s="163" t="s">
        <v>1490</v>
      </c>
      <c r="G98" s="158" t="s">
        <v>1258</v>
      </c>
      <c r="H98" s="165"/>
      <c r="I98" s="158" t="s">
        <v>1333</v>
      </c>
    </row>
    <row r="99" spans="1:10" ht="78" customHeight="1">
      <c r="A99" s="207">
        <v>98</v>
      </c>
      <c r="B99" s="228">
        <v>45674</v>
      </c>
      <c r="C99" s="152">
        <v>45678</v>
      </c>
      <c r="D99" s="158" t="s">
        <v>1321</v>
      </c>
      <c r="E99" s="166" t="s">
        <v>1491</v>
      </c>
      <c r="F99" s="163" t="s">
        <v>1492</v>
      </c>
      <c r="G99" s="158" t="s">
        <v>1258</v>
      </c>
      <c r="H99" s="165"/>
      <c r="I99" s="167" t="s">
        <v>1401</v>
      </c>
    </row>
    <row r="100" spans="1:10" ht="78" customHeight="1">
      <c r="A100" s="207">
        <v>99</v>
      </c>
      <c r="B100" s="254">
        <v>45674</v>
      </c>
      <c r="C100" s="254">
        <v>45677</v>
      </c>
      <c r="D100" s="149" t="s">
        <v>1345</v>
      </c>
      <c r="E100" s="164" t="s">
        <v>1493</v>
      </c>
      <c r="F100" s="163" t="s">
        <v>1494</v>
      </c>
      <c r="G100" s="158" t="s">
        <v>1258</v>
      </c>
      <c r="H100" s="165"/>
      <c r="I100" s="159" t="s">
        <v>962</v>
      </c>
    </row>
    <row r="101" spans="1:10" ht="78" customHeight="1">
      <c r="A101" s="207">
        <v>100</v>
      </c>
      <c r="B101" s="254">
        <v>45674</v>
      </c>
      <c r="C101" s="254">
        <v>45677</v>
      </c>
      <c r="D101" s="149" t="s">
        <v>1345</v>
      </c>
      <c r="E101" s="182" t="s">
        <v>1495</v>
      </c>
      <c r="F101" s="255" t="s">
        <v>1496</v>
      </c>
      <c r="G101" s="158" t="s">
        <v>1258</v>
      </c>
      <c r="H101" s="165"/>
      <c r="I101" s="169" t="s">
        <v>1012</v>
      </c>
      <c r="J101" s="181"/>
    </row>
    <row r="102" spans="1:10" ht="78" customHeight="1">
      <c r="A102" s="207">
        <v>101</v>
      </c>
      <c r="B102" s="254">
        <v>45674</v>
      </c>
      <c r="C102" s="254">
        <v>45677</v>
      </c>
      <c r="D102" s="149" t="s">
        <v>1345</v>
      </c>
      <c r="E102" s="169" t="s">
        <v>1497</v>
      </c>
      <c r="F102" s="257" t="s">
        <v>1498</v>
      </c>
      <c r="G102" s="158" t="s">
        <v>1258</v>
      </c>
      <c r="H102" s="258"/>
      <c r="I102" s="168" t="s">
        <v>987</v>
      </c>
      <c r="J102" s="171"/>
    </row>
    <row r="103" spans="1:10" ht="78" customHeight="1">
      <c r="A103" s="207">
        <v>102</v>
      </c>
      <c r="B103" s="254">
        <v>45674</v>
      </c>
      <c r="C103" s="254">
        <v>45677</v>
      </c>
      <c r="D103" s="149" t="s">
        <v>1345</v>
      </c>
      <c r="E103" s="169" t="s">
        <v>1497</v>
      </c>
      <c r="F103" s="218" t="s">
        <v>1499</v>
      </c>
      <c r="G103" s="158" t="s">
        <v>1258</v>
      </c>
      <c r="I103" s="168" t="s">
        <v>992</v>
      </c>
      <c r="J103" s="171"/>
    </row>
    <row r="104" spans="1:10" ht="78" customHeight="1">
      <c r="A104" s="207">
        <v>103</v>
      </c>
      <c r="B104" s="254">
        <v>45674</v>
      </c>
      <c r="C104" s="254">
        <v>45677</v>
      </c>
      <c r="D104" s="149" t="s">
        <v>1345</v>
      </c>
      <c r="E104" s="170" t="s">
        <v>1497</v>
      </c>
      <c r="F104" s="163" t="s">
        <v>1500</v>
      </c>
      <c r="G104" s="158" t="s">
        <v>1258</v>
      </c>
      <c r="H104" s="247"/>
      <c r="I104" s="168" t="s">
        <v>997</v>
      </c>
      <c r="J104" s="171"/>
    </row>
    <row r="105" spans="1:10" ht="78" customHeight="1">
      <c r="A105" s="207">
        <v>104</v>
      </c>
      <c r="B105" s="152">
        <v>45675</v>
      </c>
      <c r="C105" s="254">
        <v>45677</v>
      </c>
      <c r="D105" s="149" t="s">
        <v>1345</v>
      </c>
      <c r="E105" s="168" t="s">
        <v>1501</v>
      </c>
      <c r="F105" s="257" t="s">
        <v>1502</v>
      </c>
      <c r="G105" s="158" t="s">
        <v>1258</v>
      </c>
      <c r="H105" s="247" t="s">
        <v>1503</v>
      </c>
      <c r="I105" s="168" t="s">
        <v>1392</v>
      </c>
      <c r="J105" s="171"/>
    </row>
    <row r="106" spans="1:10" ht="78" customHeight="1">
      <c r="A106" s="207">
        <v>105</v>
      </c>
      <c r="B106" s="254">
        <v>45674</v>
      </c>
      <c r="C106" s="254">
        <v>45677</v>
      </c>
      <c r="D106" s="158" t="s">
        <v>1321</v>
      </c>
      <c r="E106" s="170" t="s">
        <v>1397</v>
      </c>
      <c r="F106" s="163" t="s">
        <v>1504</v>
      </c>
      <c r="G106" s="158" t="s">
        <v>1258</v>
      </c>
      <c r="H106" s="247"/>
      <c r="I106" s="170" t="s">
        <v>972</v>
      </c>
      <c r="J106" s="158"/>
    </row>
    <row r="107" spans="1:10" ht="78" customHeight="1">
      <c r="A107" s="207">
        <v>106</v>
      </c>
      <c r="B107" s="254">
        <v>45674</v>
      </c>
      <c r="C107" s="254">
        <v>45677</v>
      </c>
      <c r="D107" s="158" t="s">
        <v>1321</v>
      </c>
      <c r="E107" s="169" t="s">
        <v>1438</v>
      </c>
      <c r="F107" s="163" t="s">
        <v>1505</v>
      </c>
      <c r="G107" s="158" t="s">
        <v>1258</v>
      </c>
      <c r="H107" s="259"/>
      <c r="I107" s="171" t="s">
        <v>1333</v>
      </c>
    </row>
    <row r="108" spans="1:10" ht="78" customHeight="1">
      <c r="A108" s="207">
        <v>107</v>
      </c>
      <c r="B108" s="254">
        <v>45674</v>
      </c>
      <c r="C108" s="254">
        <v>45677</v>
      </c>
      <c r="D108" s="158" t="s">
        <v>1321</v>
      </c>
      <c r="E108" s="164" t="s">
        <v>1506</v>
      </c>
      <c r="F108" s="163" t="s">
        <v>1507</v>
      </c>
      <c r="G108" s="158" t="s">
        <v>1258</v>
      </c>
      <c r="H108" s="247"/>
      <c r="I108" s="161" t="s">
        <v>992</v>
      </c>
      <c r="J108" s="161"/>
    </row>
    <row r="109" spans="1:10" ht="78" customHeight="1">
      <c r="A109" s="207">
        <v>108</v>
      </c>
      <c r="B109" s="254">
        <v>45674</v>
      </c>
      <c r="C109" s="152">
        <v>45680</v>
      </c>
      <c r="D109" s="158" t="s">
        <v>1321</v>
      </c>
      <c r="E109" s="164" t="s">
        <v>1506</v>
      </c>
      <c r="F109" s="163" t="s">
        <v>1508</v>
      </c>
      <c r="G109" s="158" t="s">
        <v>1258</v>
      </c>
      <c r="H109" s="236"/>
      <c r="I109" s="158" t="s">
        <v>992</v>
      </c>
    </row>
    <row r="110" spans="1:10" ht="78" customHeight="1">
      <c r="A110" s="207">
        <v>109</v>
      </c>
      <c r="B110" s="254">
        <v>45675</v>
      </c>
      <c r="C110" s="152">
        <v>45680</v>
      </c>
      <c r="D110" s="158" t="s">
        <v>1321</v>
      </c>
      <c r="E110" s="149" t="s">
        <v>1509</v>
      </c>
      <c r="F110" s="257" t="s">
        <v>1510</v>
      </c>
      <c r="G110" s="158" t="s">
        <v>1258</v>
      </c>
      <c r="H110" s="236"/>
      <c r="I110" s="149" t="s">
        <v>1333</v>
      </c>
    </row>
    <row r="111" spans="1:10" ht="78" customHeight="1">
      <c r="A111" s="207">
        <v>110</v>
      </c>
      <c r="B111" s="254">
        <v>45677</v>
      </c>
      <c r="C111" s="152">
        <v>45680</v>
      </c>
      <c r="D111" s="158" t="s">
        <v>1321</v>
      </c>
      <c r="E111" s="149" t="s">
        <v>1511</v>
      </c>
      <c r="F111" s="257" t="s">
        <v>1512</v>
      </c>
      <c r="G111" s="158" t="s">
        <v>1258</v>
      </c>
      <c r="H111" s="154"/>
      <c r="I111" s="149" t="s">
        <v>992</v>
      </c>
    </row>
    <row r="112" spans="1:10" ht="78" customHeight="1">
      <c r="A112" s="207">
        <v>111</v>
      </c>
      <c r="B112" s="254">
        <v>45677</v>
      </c>
      <c r="C112" s="152">
        <v>45680</v>
      </c>
      <c r="D112" s="158" t="s">
        <v>1321</v>
      </c>
      <c r="E112" s="161" t="s">
        <v>1513</v>
      </c>
      <c r="F112" s="257" t="s">
        <v>1514</v>
      </c>
      <c r="G112" s="158" t="s">
        <v>1258</v>
      </c>
      <c r="I112" s="149" t="s">
        <v>1333</v>
      </c>
    </row>
    <row r="113" spans="1:10" ht="78" customHeight="1">
      <c r="A113" s="207">
        <v>112</v>
      </c>
      <c r="B113" s="254">
        <v>45674</v>
      </c>
      <c r="C113" s="254">
        <v>45674</v>
      </c>
      <c r="D113" s="160" t="s">
        <v>1255</v>
      </c>
      <c r="E113" s="166" t="s">
        <v>1256</v>
      </c>
      <c r="F113" s="162" t="s">
        <v>1257</v>
      </c>
      <c r="G113" s="158" t="s">
        <v>1258</v>
      </c>
      <c r="H113" s="218" t="s">
        <v>1515</v>
      </c>
      <c r="I113" s="149" t="s">
        <v>967</v>
      </c>
    </row>
    <row r="114" spans="1:10" ht="78" customHeight="1">
      <c r="A114" s="207">
        <v>113</v>
      </c>
      <c r="B114" s="254">
        <v>45677</v>
      </c>
      <c r="C114" s="254">
        <v>45677</v>
      </c>
      <c r="D114" s="212" t="s">
        <v>1281</v>
      </c>
      <c r="E114" s="149" t="s">
        <v>1516</v>
      </c>
      <c r="F114" s="257" t="s">
        <v>1517</v>
      </c>
      <c r="G114" s="158" t="s">
        <v>1258</v>
      </c>
      <c r="H114" s="237" t="s">
        <v>1518</v>
      </c>
      <c r="I114" s="149" t="s">
        <v>1002</v>
      </c>
    </row>
    <row r="115" spans="1:10" ht="78" customHeight="1">
      <c r="A115" s="207">
        <v>114</v>
      </c>
      <c r="B115" s="254">
        <v>45677</v>
      </c>
      <c r="C115" s="254">
        <v>45677</v>
      </c>
      <c r="D115" s="149" t="s">
        <v>1345</v>
      </c>
      <c r="E115" s="149" t="s">
        <v>1519</v>
      </c>
      <c r="F115" s="257" t="s">
        <v>1520</v>
      </c>
      <c r="G115" s="158" t="s">
        <v>1258</v>
      </c>
      <c r="H115" s="179"/>
      <c r="I115" s="149" t="s">
        <v>952</v>
      </c>
      <c r="J115" s="155"/>
    </row>
    <row r="116" spans="1:10" ht="78" customHeight="1">
      <c r="A116" s="207">
        <v>115</v>
      </c>
      <c r="B116" s="152">
        <v>45677</v>
      </c>
      <c r="C116" s="152">
        <v>45678</v>
      </c>
      <c r="D116" s="149" t="s">
        <v>1345</v>
      </c>
      <c r="E116" s="169" t="s">
        <v>1427</v>
      </c>
      <c r="F116" s="218" t="s">
        <v>1521</v>
      </c>
      <c r="G116" s="158" t="s">
        <v>1258</v>
      </c>
      <c r="H116" s="237" t="s">
        <v>1522</v>
      </c>
      <c r="I116" s="149" t="s">
        <v>997</v>
      </c>
      <c r="J116" s="159"/>
    </row>
    <row r="117" spans="1:10" ht="78" customHeight="1">
      <c r="A117" s="207">
        <v>116</v>
      </c>
      <c r="B117" s="152">
        <v>45677</v>
      </c>
      <c r="C117" s="152">
        <v>45677</v>
      </c>
      <c r="D117" s="210" t="s">
        <v>1317</v>
      </c>
      <c r="E117" s="170" t="s">
        <v>1523</v>
      </c>
      <c r="F117" s="163" t="s">
        <v>1524</v>
      </c>
      <c r="G117" s="158" t="s">
        <v>1258</v>
      </c>
      <c r="H117" s="165"/>
      <c r="I117" s="161" t="s">
        <v>1007</v>
      </c>
    </row>
    <row r="118" spans="1:10" ht="78" customHeight="1">
      <c r="A118" s="207">
        <v>117</v>
      </c>
      <c r="B118" s="152">
        <v>45677</v>
      </c>
      <c r="C118" s="152">
        <v>45677</v>
      </c>
      <c r="D118" s="210" t="s">
        <v>1317</v>
      </c>
      <c r="E118" s="149" t="s">
        <v>1523</v>
      </c>
      <c r="F118" s="180" t="s">
        <v>1525</v>
      </c>
      <c r="G118" s="158" t="s">
        <v>1258</v>
      </c>
      <c r="H118" s="175"/>
      <c r="I118" s="158" t="s">
        <v>1017</v>
      </c>
    </row>
    <row r="119" spans="1:10" ht="78" customHeight="1">
      <c r="A119" s="207">
        <v>118</v>
      </c>
      <c r="B119" s="152">
        <v>45677</v>
      </c>
      <c r="C119" s="152">
        <v>45678</v>
      </c>
      <c r="D119" s="256" t="s">
        <v>1526</v>
      </c>
      <c r="E119" s="164" t="s">
        <v>1527</v>
      </c>
      <c r="F119" s="163" t="s">
        <v>1528</v>
      </c>
      <c r="G119" s="158" t="s">
        <v>1258</v>
      </c>
      <c r="H119" s="156" t="s">
        <v>1529</v>
      </c>
      <c r="I119" s="149" t="s">
        <v>987</v>
      </c>
    </row>
    <row r="120" spans="1:10" ht="78" customHeight="1">
      <c r="A120" s="207">
        <v>119</v>
      </c>
      <c r="B120" s="152">
        <v>45678</v>
      </c>
      <c r="C120" s="152">
        <v>45678</v>
      </c>
      <c r="D120" s="210" t="s">
        <v>1317</v>
      </c>
      <c r="E120" s="171" t="s">
        <v>1530</v>
      </c>
      <c r="F120" s="260" t="s">
        <v>1531</v>
      </c>
      <c r="G120" s="158" t="s">
        <v>1258</v>
      </c>
      <c r="H120" s="154" t="s">
        <v>1532</v>
      </c>
      <c r="I120" s="149" t="s">
        <v>962</v>
      </c>
    </row>
    <row r="121" spans="1:10" ht="78" customHeight="1">
      <c r="A121" s="207">
        <v>120</v>
      </c>
      <c r="B121" s="152">
        <v>45678</v>
      </c>
      <c r="C121" s="152">
        <v>45678</v>
      </c>
      <c r="D121" s="210" t="s">
        <v>1281</v>
      </c>
      <c r="E121" s="161" t="s">
        <v>1533</v>
      </c>
      <c r="F121" s="154" t="s">
        <v>1534</v>
      </c>
      <c r="G121" s="158" t="s">
        <v>1258</v>
      </c>
      <c r="H121" s="154" t="s">
        <v>1535</v>
      </c>
      <c r="I121" s="149" t="s">
        <v>932</v>
      </c>
    </row>
    <row r="122" spans="1:10" ht="78" customHeight="1">
      <c r="A122" s="207">
        <v>121</v>
      </c>
      <c r="B122" s="228">
        <v>45679</v>
      </c>
      <c r="C122" s="228">
        <v>45679</v>
      </c>
      <c r="D122" s="158" t="s">
        <v>1321</v>
      </c>
      <c r="E122" s="158" t="s">
        <v>1536</v>
      </c>
      <c r="F122" s="154" t="s">
        <v>1537</v>
      </c>
      <c r="G122" s="158" t="s">
        <v>1258</v>
      </c>
      <c r="H122" s="154"/>
      <c r="I122" s="149" t="s">
        <v>1401</v>
      </c>
    </row>
    <row r="123" spans="1:10" ht="78" customHeight="1">
      <c r="A123" s="207">
        <v>122</v>
      </c>
      <c r="B123" s="227">
        <v>45680</v>
      </c>
      <c r="C123" s="152">
        <v>45680</v>
      </c>
      <c r="D123" s="158" t="s">
        <v>1321</v>
      </c>
      <c r="E123" s="161" t="s">
        <v>1538</v>
      </c>
      <c r="F123" s="163" t="s">
        <v>1539</v>
      </c>
      <c r="G123" s="158" t="s">
        <v>1258</v>
      </c>
      <c r="I123" s="149" t="s">
        <v>927</v>
      </c>
    </row>
    <row r="124" spans="1:10" ht="78" customHeight="1">
      <c r="A124" s="207">
        <v>123</v>
      </c>
      <c r="B124" s="228">
        <v>45679</v>
      </c>
      <c r="C124" s="152">
        <v>45721</v>
      </c>
      <c r="D124" s="210" t="s">
        <v>1317</v>
      </c>
      <c r="E124" s="161" t="s">
        <v>1540</v>
      </c>
      <c r="F124" s="243" t="s">
        <v>1541</v>
      </c>
      <c r="G124" s="158" t="s">
        <v>1258</v>
      </c>
      <c r="I124" s="149" t="s">
        <v>1017</v>
      </c>
    </row>
    <row r="125" spans="1:10" ht="78" customHeight="1">
      <c r="A125" s="207">
        <v>124</v>
      </c>
      <c r="B125" s="228">
        <v>45679</v>
      </c>
      <c r="C125" s="227">
        <v>45680</v>
      </c>
      <c r="D125" s="256" t="s">
        <v>1264</v>
      </c>
      <c r="E125" s="181" t="s">
        <v>1542</v>
      </c>
      <c r="F125" s="231" t="s">
        <v>1543</v>
      </c>
      <c r="G125" s="158" t="s">
        <v>1258</v>
      </c>
      <c r="H125" s="154" t="s">
        <v>1544</v>
      </c>
      <c r="I125" s="149" t="s">
        <v>937</v>
      </c>
    </row>
    <row r="126" spans="1:10" ht="78" customHeight="1">
      <c r="A126" s="207">
        <v>125</v>
      </c>
      <c r="B126" s="227">
        <v>45680</v>
      </c>
      <c r="C126" s="227">
        <v>45680</v>
      </c>
      <c r="D126" s="149" t="s">
        <v>1345</v>
      </c>
      <c r="E126" s="166" t="s">
        <v>1497</v>
      </c>
      <c r="F126" s="163" t="s">
        <v>1545</v>
      </c>
      <c r="G126" s="158" t="s">
        <v>1258</v>
      </c>
      <c r="I126" s="149" t="s">
        <v>947</v>
      </c>
    </row>
    <row r="127" spans="1:10" ht="78" customHeight="1">
      <c r="A127" s="207">
        <v>126</v>
      </c>
      <c r="B127" s="227">
        <v>45680</v>
      </c>
      <c r="C127" s="254">
        <v>45692</v>
      </c>
      <c r="D127" s="158" t="s">
        <v>1321</v>
      </c>
      <c r="E127" s="166" t="s">
        <v>1438</v>
      </c>
      <c r="F127" s="218" t="s">
        <v>1546</v>
      </c>
      <c r="G127" s="158" t="s">
        <v>1258</v>
      </c>
      <c r="I127" s="149" t="s">
        <v>1333</v>
      </c>
    </row>
    <row r="128" spans="1:10" ht="78" customHeight="1">
      <c r="A128" s="207">
        <v>127</v>
      </c>
      <c r="B128" s="227">
        <v>45681</v>
      </c>
      <c r="C128" s="227">
        <v>45681</v>
      </c>
      <c r="D128" s="210" t="s">
        <v>1281</v>
      </c>
      <c r="E128" s="166" t="s">
        <v>1547</v>
      </c>
      <c r="F128" s="237" t="s">
        <v>1548</v>
      </c>
      <c r="G128" s="158" t="s">
        <v>1258</v>
      </c>
      <c r="H128" s="154" t="s">
        <v>1549</v>
      </c>
      <c r="I128" s="149" t="s">
        <v>927</v>
      </c>
    </row>
    <row r="129" spans="1:9" ht="78" customHeight="1">
      <c r="A129" s="207">
        <v>128</v>
      </c>
      <c r="B129" s="227">
        <v>45681</v>
      </c>
      <c r="C129" s="227">
        <v>45681</v>
      </c>
      <c r="D129" s="261" t="s">
        <v>1317</v>
      </c>
      <c r="E129" s="159" t="s">
        <v>1550</v>
      </c>
      <c r="F129" s="218" t="s">
        <v>1523</v>
      </c>
      <c r="G129" s="158" t="s">
        <v>1258</v>
      </c>
      <c r="H129" s="156" t="s">
        <v>1551</v>
      </c>
      <c r="I129" s="149" t="s">
        <v>937</v>
      </c>
    </row>
    <row r="130" spans="1:9" ht="78" customHeight="1">
      <c r="A130" s="207">
        <v>129</v>
      </c>
      <c r="B130" s="227">
        <v>45681</v>
      </c>
      <c r="C130" s="227">
        <v>45681</v>
      </c>
      <c r="D130" s="210" t="s">
        <v>1281</v>
      </c>
      <c r="E130" s="161" t="s">
        <v>1552</v>
      </c>
      <c r="F130" s="180" t="s">
        <v>1553</v>
      </c>
      <c r="G130" s="158" t="s">
        <v>1258</v>
      </c>
      <c r="H130" s="236" t="s">
        <v>1554</v>
      </c>
      <c r="I130" s="149" t="s">
        <v>942</v>
      </c>
    </row>
    <row r="131" spans="1:9" ht="78" customHeight="1">
      <c r="A131" s="207">
        <v>130</v>
      </c>
      <c r="B131" s="227">
        <v>45681</v>
      </c>
      <c r="C131" s="227">
        <v>45681</v>
      </c>
      <c r="D131" s="210" t="s">
        <v>1264</v>
      </c>
      <c r="E131" s="166" t="s">
        <v>1555</v>
      </c>
      <c r="F131" s="218" t="s">
        <v>1556</v>
      </c>
      <c r="G131" s="158" t="s">
        <v>1258</v>
      </c>
      <c r="H131" s="154" t="s">
        <v>1557</v>
      </c>
      <c r="I131" s="149" t="s">
        <v>927</v>
      </c>
    </row>
    <row r="132" spans="1:9" ht="78" customHeight="1">
      <c r="A132" s="207">
        <v>131</v>
      </c>
      <c r="B132" s="152">
        <v>45688</v>
      </c>
      <c r="C132" s="152">
        <v>45688</v>
      </c>
      <c r="D132" s="212" t="s">
        <v>1558</v>
      </c>
      <c r="E132" s="159" t="s">
        <v>1559</v>
      </c>
      <c r="F132" s="180" t="s">
        <v>1560</v>
      </c>
      <c r="G132" s="158" t="s">
        <v>1258</v>
      </c>
      <c r="H132" s="154" t="s">
        <v>1561</v>
      </c>
      <c r="I132" s="149" t="s">
        <v>942</v>
      </c>
    </row>
    <row r="133" spans="1:9" ht="78" customHeight="1">
      <c r="A133" s="207">
        <v>132</v>
      </c>
      <c r="B133" s="152">
        <v>45688</v>
      </c>
      <c r="C133" s="228">
        <v>45695</v>
      </c>
      <c r="D133" s="210" t="s">
        <v>1321</v>
      </c>
      <c r="E133" s="166" t="s">
        <v>1416</v>
      </c>
      <c r="F133" s="163" t="s">
        <v>1562</v>
      </c>
      <c r="G133" s="158" t="s">
        <v>1258</v>
      </c>
      <c r="H133" s="220"/>
      <c r="I133" s="149" t="s">
        <v>942</v>
      </c>
    </row>
    <row r="134" spans="1:9" ht="78" customHeight="1">
      <c r="A134" s="207">
        <v>133</v>
      </c>
      <c r="B134" s="152">
        <v>45688</v>
      </c>
      <c r="C134" s="254">
        <v>45692</v>
      </c>
      <c r="D134" s="210" t="s">
        <v>1321</v>
      </c>
      <c r="E134" s="166" t="s">
        <v>1563</v>
      </c>
      <c r="F134" s="260" t="s">
        <v>1564</v>
      </c>
      <c r="G134" s="158" t="s">
        <v>1258</v>
      </c>
      <c r="H134" s="162"/>
      <c r="I134" s="149" t="s">
        <v>1333</v>
      </c>
    </row>
    <row r="135" spans="1:9" ht="78" customHeight="1">
      <c r="A135" s="207">
        <v>134</v>
      </c>
      <c r="B135" s="152">
        <v>45688</v>
      </c>
      <c r="C135" s="227">
        <v>45691</v>
      </c>
      <c r="D135" s="210" t="s">
        <v>1321</v>
      </c>
      <c r="E135" s="171" t="s">
        <v>1399</v>
      </c>
      <c r="F135" s="218" t="s">
        <v>1565</v>
      </c>
      <c r="G135" s="158" t="s">
        <v>1258</v>
      </c>
      <c r="H135" s="154"/>
      <c r="I135" s="149" t="s">
        <v>1401</v>
      </c>
    </row>
    <row r="136" spans="1:9" ht="78" customHeight="1">
      <c r="A136" s="207">
        <v>135</v>
      </c>
      <c r="B136" s="227">
        <v>45691</v>
      </c>
      <c r="C136" s="227">
        <v>45691</v>
      </c>
      <c r="D136" s="210" t="s">
        <v>1281</v>
      </c>
      <c r="E136" s="161" t="s">
        <v>1566</v>
      </c>
      <c r="F136" s="163" t="s">
        <v>1567</v>
      </c>
      <c r="G136" s="158" t="s">
        <v>1258</v>
      </c>
      <c r="H136" s="163" t="s">
        <v>1568</v>
      </c>
      <c r="I136" s="149" t="s">
        <v>982</v>
      </c>
    </row>
    <row r="137" spans="1:9" ht="78" customHeight="1">
      <c r="A137" s="207">
        <v>136</v>
      </c>
      <c r="B137" s="227">
        <v>45691</v>
      </c>
      <c r="C137" s="227">
        <v>45691</v>
      </c>
      <c r="D137" s="261" t="s">
        <v>1281</v>
      </c>
      <c r="E137" s="149" t="s">
        <v>1569</v>
      </c>
      <c r="F137" s="180" t="s">
        <v>1570</v>
      </c>
      <c r="G137" s="158" t="s">
        <v>1258</v>
      </c>
      <c r="H137" s="243" t="s">
        <v>1571</v>
      </c>
      <c r="I137" s="149" t="s">
        <v>962</v>
      </c>
    </row>
    <row r="138" spans="1:9" ht="78" customHeight="1">
      <c r="A138" s="207">
        <v>137</v>
      </c>
      <c r="B138" s="227">
        <v>45691</v>
      </c>
      <c r="C138" s="227">
        <v>45691</v>
      </c>
      <c r="D138" s="160" t="s">
        <v>1255</v>
      </c>
      <c r="E138" s="166" t="s">
        <v>1256</v>
      </c>
      <c r="F138" s="162" t="s">
        <v>1257</v>
      </c>
      <c r="G138" s="158" t="s">
        <v>1258</v>
      </c>
      <c r="I138" s="149" t="s">
        <v>972</v>
      </c>
    </row>
    <row r="139" spans="1:9" ht="78" customHeight="1">
      <c r="A139" s="207">
        <v>138</v>
      </c>
      <c r="B139" s="227">
        <v>45691</v>
      </c>
      <c r="C139" s="227">
        <v>45691</v>
      </c>
      <c r="D139" s="160" t="s">
        <v>1255</v>
      </c>
      <c r="E139" s="166" t="s">
        <v>1256</v>
      </c>
      <c r="F139" s="162" t="s">
        <v>1257</v>
      </c>
      <c r="G139" s="158" t="s">
        <v>1258</v>
      </c>
      <c r="I139" s="149" t="s">
        <v>927</v>
      </c>
    </row>
    <row r="140" spans="1:9" ht="78" customHeight="1">
      <c r="A140" s="207">
        <v>139</v>
      </c>
      <c r="B140" s="227">
        <v>45691</v>
      </c>
      <c r="C140" s="227">
        <v>45691</v>
      </c>
      <c r="D140" s="149" t="s">
        <v>1345</v>
      </c>
      <c r="E140" s="161" t="s">
        <v>1346</v>
      </c>
      <c r="F140" s="154" t="s">
        <v>1572</v>
      </c>
      <c r="G140" s="158" t="s">
        <v>1258</v>
      </c>
      <c r="H140" s="154" t="s">
        <v>1573</v>
      </c>
      <c r="I140" s="149" t="s">
        <v>982</v>
      </c>
    </row>
    <row r="141" spans="1:9" ht="78" customHeight="1">
      <c r="A141" s="207">
        <v>140</v>
      </c>
      <c r="B141" s="227">
        <v>45691</v>
      </c>
      <c r="C141" s="254">
        <v>45698</v>
      </c>
      <c r="D141" s="212" t="s">
        <v>1574</v>
      </c>
      <c r="E141" s="158" t="s">
        <v>1575</v>
      </c>
      <c r="F141" s="154" t="s">
        <v>1576</v>
      </c>
      <c r="G141" s="158" t="s">
        <v>1258</v>
      </c>
      <c r="H141" s="154" t="s">
        <v>1577</v>
      </c>
      <c r="I141" s="149" t="s">
        <v>1017</v>
      </c>
    </row>
    <row r="142" spans="1:9" ht="78" customHeight="1">
      <c r="A142" s="207">
        <v>141</v>
      </c>
      <c r="B142" s="254">
        <v>45692</v>
      </c>
      <c r="C142" s="254">
        <v>45692</v>
      </c>
      <c r="D142" s="160" t="s">
        <v>1255</v>
      </c>
      <c r="E142" s="166" t="s">
        <v>1256</v>
      </c>
      <c r="F142" s="162" t="s">
        <v>1257</v>
      </c>
      <c r="G142" s="158" t="s">
        <v>1258</v>
      </c>
      <c r="I142" s="149" t="s">
        <v>982</v>
      </c>
    </row>
    <row r="143" spans="1:9" ht="78" customHeight="1">
      <c r="A143" s="207">
        <v>142</v>
      </c>
      <c r="B143" s="254">
        <v>45692</v>
      </c>
      <c r="C143" s="254">
        <v>45692</v>
      </c>
      <c r="D143" s="160" t="s">
        <v>1255</v>
      </c>
      <c r="E143" s="166" t="s">
        <v>1256</v>
      </c>
      <c r="F143" s="162" t="s">
        <v>1257</v>
      </c>
      <c r="G143" s="158" t="s">
        <v>1258</v>
      </c>
      <c r="I143" s="149" t="s">
        <v>1007</v>
      </c>
    </row>
    <row r="144" spans="1:9" ht="78" customHeight="1">
      <c r="A144" s="207">
        <v>143</v>
      </c>
      <c r="B144" s="254">
        <v>45692</v>
      </c>
      <c r="C144" s="254">
        <v>45692</v>
      </c>
      <c r="D144" s="160" t="s">
        <v>1255</v>
      </c>
      <c r="E144" s="166" t="s">
        <v>1256</v>
      </c>
      <c r="F144" s="162" t="s">
        <v>1257</v>
      </c>
      <c r="G144" s="158" t="s">
        <v>1258</v>
      </c>
      <c r="H144" s="154"/>
      <c r="I144" s="149" t="s">
        <v>1012</v>
      </c>
    </row>
    <row r="145" spans="1:87" ht="78" customHeight="1">
      <c r="A145" s="207">
        <v>144</v>
      </c>
      <c r="B145" s="254">
        <v>45692</v>
      </c>
      <c r="C145" s="254">
        <v>45693</v>
      </c>
      <c r="D145" s="210" t="s">
        <v>1321</v>
      </c>
      <c r="E145" s="149" t="s">
        <v>1578</v>
      </c>
      <c r="F145" s="262" t="s">
        <v>1579</v>
      </c>
      <c r="G145" s="158" t="s">
        <v>1258</v>
      </c>
      <c r="H145" s="154" t="s">
        <v>1580</v>
      </c>
      <c r="I145" s="149" t="s">
        <v>1333</v>
      </c>
    </row>
    <row r="146" spans="1:87" ht="78" customHeight="1">
      <c r="A146" s="207">
        <v>145</v>
      </c>
      <c r="B146" s="254">
        <v>45692</v>
      </c>
      <c r="C146" s="254">
        <v>45693</v>
      </c>
      <c r="D146" s="210" t="s">
        <v>1321</v>
      </c>
      <c r="E146" s="164" t="s">
        <v>1581</v>
      </c>
      <c r="F146" s="163" t="s">
        <v>1582</v>
      </c>
      <c r="G146" s="158" t="s">
        <v>1258</v>
      </c>
      <c r="H146" s="259"/>
      <c r="I146" s="149" t="s">
        <v>932</v>
      </c>
    </row>
    <row r="147" spans="1:87" ht="78" customHeight="1">
      <c r="A147" s="207">
        <v>146</v>
      </c>
      <c r="B147" s="254">
        <v>45692</v>
      </c>
      <c r="C147" s="254">
        <v>45693</v>
      </c>
      <c r="D147" s="210" t="s">
        <v>1321</v>
      </c>
      <c r="E147" s="149" t="s">
        <v>1583</v>
      </c>
      <c r="F147" s="260" t="s">
        <v>1584</v>
      </c>
      <c r="G147" s="158" t="s">
        <v>1258</v>
      </c>
      <c r="H147" s="263" t="s">
        <v>1585</v>
      </c>
      <c r="I147" s="149" t="s">
        <v>932</v>
      </c>
    </row>
    <row r="148" spans="1:87" ht="78" customHeight="1">
      <c r="A148" s="207">
        <v>147</v>
      </c>
      <c r="B148" s="254">
        <v>45693</v>
      </c>
      <c r="C148" s="228">
        <v>45695</v>
      </c>
      <c r="D148" s="210" t="s">
        <v>1321</v>
      </c>
      <c r="E148" s="149" t="s">
        <v>1416</v>
      </c>
      <c r="F148" s="154" t="s">
        <v>1586</v>
      </c>
      <c r="G148" s="158" t="s">
        <v>1258</v>
      </c>
      <c r="I148" s="149" t="s">
        <v>927</v>
      </c>
    </row>
    <row r="149" spans="1:87" ht="78" customHeight="1">
      <c r="A149" s="207">
        <v>148</v>
      </c>
      <c r="B149" s="254">
        <v>45692</v>
      </c>
      <c r="C149" s="254">
        <v>45692</v>
      </c>
      <c r="D149" s="210" t="s">
        <v>1281</v>
      </c>
      <c r="E149" s="149" t="s">
        <v>1587</v>
      </c>
      <c r="F149" s="154" t="s">
        <v>1588</v>
      </c>
      <c r="G149" s="158" t="s">
        <v>1258</v>
      </c>
      <c r="H149" s="154" t="s">
        <v>1589</v>
      </c>
      <c r="I149" s="149" t="s">
        <v>1002</v>
      </c>
    </row>
    <row r="150" spans="1:87" ht="78" customHeight="1">
      <c r="A150" s="207">
        <v>149</v>
      </c>
      <c r="B150" s="254">
        <v>45692</v>
      </c>
      <c r="C150" s="254">
        <v>45692</v>
      </c>
      <c r="D150" s="261" t="s">
        <v>1281</v>
      </c>
      <c r="E150" s="149" t="s">
        <v>1590</v>
      </c>
      <c r="F150" s="154" t="s">
        <v>1591</v>
      </c>
      <c r="G150" s="158" t="s">
        <v>1258</v>
      </c>
      <c r="H150" s="154" t="s">
        <v>1592</v>
      </c>
      <c r="I150" s="149" t="s">
        <v>927</v>
      </c>
    </row>
    <row r="151" spans="1:87" ht="78" customHeight="1">
      <c r="A151" s="207">
        <v>150</v>
      </c>
      <c r="B151" s="254">
        <v>45693</v>
      </c>
      <c r="C151" s="254">
        <v>45693</v>
      </c>
      <c r="D151" s="160" t="s">
        <v>1255</v>
      </c>
      <c r="E151" s="166" t="s">
        <v>1256</v>
      </c>
      <c r="F151" s="162" t="s">
        <v>1257</v>
      </c>
      <c r="G151" s="158" t="s">
        <v>1258</v>
      </c>
      <c r="H151" s="163"/>
      <c r="I151" s="149" t="s">
        <v>1017</v>
      </c>
    </row>
    <row r="152" spans="1:87" ht="78" customHeight="1">
      <c r="A152" s="207">
        <v>151</v>
      </c>
      <c r="B152" s="254">
        <v>45693</v>
      </c>
      <c r="C152" s="254">
        <v>45693</v>
      </c>
      <c r="D152" s="160" t="s">
        <v>1255</v>
      </c>
      <c r="E152" s="166" t="s">
        <v>1256</v>
      </c>
      <c r="F152" s="162" t="s">
        <v>1257</v>
      </c>
      <c r="G152" s="158" t="s">
        <v>1258</v>
      </c>
      <c r="H152" s="246"/>
      <c r="I152" s="155" t="s">
        <v>942</v>
      </c>
    </row>
    <row r="153" spans="1:87" ht="78" customHeight="1">
      <c r="A153" s="207">
        <v>152</v>
      </c>
      <c r="B153" s="254">
        <v>45693</v>
      </c>
      <c r="C153" s="254">
        <v>45693</v>
      </c>
      <c r="D153" s="160" t="s">
        <v>1255</v>
      </c>
      <c r="E153" s="166" t="s">
        <v>1256</v>
      </c>
      <c r="F153" s="162" t="s">
        <v>1257</v>
      </c>
      <c r="G153" s="158" t="s">
        <v>1258</v>
      </c>
      <c r="H153" s="165"/>
      <c r="I153" s="166" t="s">
        <v>977</v>
      </c>
      <c r="J153" s="161"/>
    </row>
    <row r="154" spans="1:87" ht="78" customHeight="1">
      <c r="A154" s="207">
        <v>153</v>
      </c>
      <c r="B154" s="254">
        <v>45692</v>
      </c>
      <c r="C154" s="254">
        <v>45699</v>
      </c>
      <c r="D154" s="256" t="s">
        <v>1281</v>
      </c>
      <c r="E154" s="166" t="s">
        <v>1593</v>
      </c>
      <c r="F154" s="154" t="s">
        <v>1594</v>
      </c>
      <c r="G154" s="158" t="s">
        <v>1258</v>
      </c>
      <c r="H154" s="154" t="s">
        <v>1595</v>
      </c>
      <c r="I154" s="159" t="s">
        <v>932</v>
      </c>
      <c r="AP154" s="155"/>
    </row>
    <row r="155" spans="1:87" ht="78" customHeight="1">
      <c r="A155" s="207">
        <v>154</v>
      </c>
      <c r="B155" s="254">
        <v>45693</v>
      </c>
      <c r="C155" s="227">
        <v>45694</v>
      </c>
      <c r="D155" s="149" t="s">
        <v>1345</v>
      </c>
      <c r="E155" s="149" t="s">
        <v>1596</v>
      </c>
      <c r="F155" s="154" t="s">
        <v>1597</v>
      </c>
      <c r="G155" s="158" t="s">
        <v>1258</v>
      </c>
      <c r="H155" s="154" t="s">
        <v>1598</v>
      </c>
      <c r="I155" s="149" t="s">
        <v>972</v>
      </c>
      <c r="AA155" s="169"/>
      <c r="AB155" s="181"/>
      <c r="AG155" s="169"/>
      <c r="AH155" s="176"/>
      <c r="AI155" s="155"/>
      <c r="AJ155" s="176"/>
      <c r="AK155" s="176"/>
      <c r="AL155" s="176"/>
      <c r="AM155" s="155"/>
      <c r="AN155" s="181"/>
      <c r="AO155" s="155"/>
      <c r="AP155" s="167"/>
      <c r="AW155" s="155"/>
    </row>
    <row r="156" spans="1:87" ht="78" customHeight="1">
      <c r="A156" s="207">
        <v>155</v>
      </c>
      <c r="B156" s="254">
        <v>45693</v>
      </c>
      <c r="C156" s="254">
        <v>45693</v>
      </c>
      <c r="D156" s="210" t="s">
        <v>1321</v>
      </c>
      <c r="E156" s="155" t="s">
        <v>1599</v>
      </c>
      <c r="F156" s="262" t="s">
        <v>1600</v>
      </c>
      <c r="G156" s="158" t="s">
        <v>1258</v>
      </c>
      <c r="H156" s="220"/>
      <c r="I156" s="155" t="s">
        <v>937</v>
      </c>
      <c r="J156" s="155"/>
      <c r="K156" s="155"/>
      <c r="L156" s="176"/>
      <c r="M156" s="155"/>
      <c r="N156" s="155"/>
      <c r="O156" s="181"/>
      <c r="Q156" s="155"/>
      <c r="R156" s="155"/>
      <c r="S156" s="181"/>
      <c r="T156" s="155"/>
      <c r="U156" s="155"/>
      <c r="V156" s="169"/>
      <c r="W156" s="181"/>
      <c r="X156" s="155"/>
      <c r="Y156" s="169"/>
      <c r="Z156" s="181"/>
      <c r="AA156" s="155"/>
      <c r="AB156" s="181"/>
      <c r="AC156" s="176"/>
      <c r="AD156" s="155"/>
      <c r="AE156" s="181"/>
      <c r="AF156" s="155"/>
      <c r="AG156" s="169"/>
      <c r="AH156" s="155"/>
      <c r="AI156" s="155"/>
      <c r="AJ156" s="155"/>
      <c r="AK156" s="181"/>
      <c r="AL156" s="169"/>
      <c r="AM156" s="155"/>
      <c r="AN156" s="155"/>
      <c r="AO156" s="155"/>
      <c r="AP156" s="155"/>
      <c r="AQ156" s="155"/>
      <c r="AR156" s="169"/>
      <c r="AS156" s="155"/>
      <c r="AT156" s="155"/>
      <c r="AU156" s="181"/>
      <c r="AV156" s="176"/>
      <c r="AW156" s="155"/>
      <c r="AX156" s="176"/>
      <c r="AY156" s="155"/>
      <c r="AZ156" s="155"/>
      <c r="BB156" s="155"/>
      <c r="BD156" s="169"/>
      <c r="BE156" s="155"/>
      <c r="BT156" s="155"/>
      <c r="CA156" s="171"/>
      <c r="CE156" s="171"/>
      <c r="CG156" s="155"/>
    </row>
    <row r="157" spans="1:87" s="198" customFormat="1" ht="78" customHeight="1">
      <c r="A157" s="207">
        <v>156</v>
      </c>
      <c r="B157" s="254">
        <v>45693</v>
      </c>
      <c r="C157" s="254">
        <v>45693</v>
      </c>
      <c r="D157" s="210" t="s">
        <v>1321</v>
      </c>
      <c r="E157" s="166" t="s">
        <v>1601</v>
      </c>
      <c r="F157" s="163" t="s">
        <v>1602</v>
      </c>
      <c r="G157" s="158" t="s">
        <v>1258</v>
      </c>
      <c r="H157" s="163" t="s">
        <v>1603</v>
      </c>
      <c r="I157" s="166" t="s">
        <v>1401</v>
      </c>
      <c r="J157" s="194"/>
      <c r="K157" s="196"/>
      <c r="L157" s="196"/>
      <c r="M157" s="194"/>
      <c r="N157" s="194"/>
      <c r="O157" s="196"/>
      <c r="P157" s="196"/>
      <c r="Q157" s="194"/>
      <c r="R157" s="194"/>
      <c r="S157" s="196"/>
      <c r="T157" s="194"/>
      <c r="U157" s="194"/>
      <c r="V157" s="194"/>
      <c r="W157" s="196"/>
      <c r="X157" s="194"/>
      <c r="Y157" s="194"/>
      <c r="Z157" s="196"/>
      <c r="AA157" s="194"/>
      <c r="AB157" s="196"/>
      <c r="AC157" s="264"/>
      <c r="AD157" s="194"/>
      <c r="AE157" s="196"/>
      <c r="AF157" s="194"/>
      <c r="AG157" s="194"/>
      <c r="AH157" s="194"/>
      <c r="AI157" s="194"/>
      <c r="AJ157" s="194"/>
      <c r="AK157" s="196"/>
      <c r="AL157" s="264"/>
      <c r="AM157" s="194"/>
      <c r="AN157" s="194"/>
      <c r="AO157" s="194"/>
      <c r="AP157" s="194"/>
      <c r="AQ157" s="194"/>
      <c r="AR157" s="194"/>
      <c r="AS157" s="194"/>
      <c r="AT157" s="194"/>
      <c r="AU157" s="194"/>
      <c r="AV157" s="196"/>
      <c r="AW157" s="194"/>
      <c r="AX157" s="195"/>
      <c r="AY157" s="194"/>
      <c r="AZ157" s="194"/>
      <c r="BA157" s="264"/>
      <c r="BB157" s="194"/>
      <c r="BC157" s="195"/>
      <c r="BD157" s="264"/>
      <c r="BE157" s="194"/>
      <c r="BF157" s="265"/>
      <c r="BG157" s="266"/>
      <c r="BH157" s="194"/>
      <c r="BI157" s="194"/>
      <c r="BJ157" s="194"/>
      <c r="BK157" s="194"/>
      <c r="BL157" s="196"/>
      <c r="BM157" s="194"/>
      <c r="BN157" s="194"/>
      <c r="BO157" s="196"/>
      <c r="BP157" s="196"/>
      <c r="BQ157" s="194"/>
      <c r="BR157" s="195"/>
      <c r="BS157" s="194"/>
      <c r="BT157" s="194"/>
      <c r="BU157" s="196"/>
      <c r="BV157" s="264"/>
      <c r="BW157" s="194"/>
      <c r="BX157" s="264"/>
      <c r="BY157" s="194"/>
      <c r="BZ157" s="194"/>
      <c r="CA157" s="194"/>
      <c r="CB157" s="196"/>
      <c r="CC157" s="196"/>
      <c r="CD157" s="194"/>
      <c r="CE157" s="196"/>
      <c r="CF157" s="194"/>
      <c r="CG157" s="195"/>
      <c r="CH157" s="194"/>
      <c r="CI157" s="194"/>
    </row>
    <row r="158" spans="1:87" ht="78" customHeight="1">
      <c r="A158" s="207">
        <v>157</v>
      </c>
      <c r="B158" s="254">
        <v>45693</v>
      </c>
      <c r="C158" s="228">
        <v>45695</v>
      </c>
      <c r="D158" s="210" t="s">
        <v>1321</v>
      </c>
      <c r="E158" s="166" t="s">
        <v>1604</v>
      </c>
      <c r="F158" s="163" t="s">
        <v>1605</v>
      </c>
      <c r="G158" s="158" t="s">
        <v>1258</v>
      </c>
      <c r="H158" s="165"/>
      <c r="I158" s="159" t="s">
        <v>927</v>
      </c>
      <c r="J158" s="159"/>
      <c r="K158" s="158"/>
      <c r="L158" s="158"/>
      <c r="M158" s="159"/>
      <c r="N158" s="159"/>
      <c r="O158" s="158"/>
      <c r="P158" s="158"/>
      <c r="Q158" s="159"/>
      <c r="R158" s="158"/>
      <c r="T158" s="168"/>
      <c r="U158" s="159"/>
      <c r="V158" s="159"/>
      <c r="W158" s="158"/>
      <c r="X158" s="159"/>
      <c r="Y158" s="159"/>
      <c r="Z158" s="158"/>
      <c r="AA158" s="159"/>
      <c r="AC158" s="170"/>
      <c r="AD158" s="159"/>
      <c r="AE158" s="158"/>
      <c r="AF158" s="159"/>
      <c r="AG158" s="159"/>
      <c r="AH158" s="159"/>
      <c r="AI158" s="159"/>
      <c r="AJ158" s="159"/>
      <c r="AK158" s="158"/>
      <c r="AL158" s="170"/>
      <c r="AM158" s="159"/>
      <c r="AO158" s="159"/>
      <c r="AP158" s="159"/>
      <c r="AQ158" s="159"/>
      <c r="AR158" s="168"/>
      <c r="AS158" s="159"/>
      <c r="AT158" s="159"/>
      <c r="AU158" s="159"/>
      <c r="AV158" s="158"/>
      <c r="AW158" s="159"/>
      <c r="AY158" s="159"/>
      <c r="AZ158" s="159"/>
      <c r="BA158" s="182"/>
      <c r="BB158" s="159"/>
      <c r="BC158" s="182"/>
      <c r="BD158" s="170"/>
      <c r="BE158" s="159"/>
      <c r="BF158" s="158"/>
      <c r="BG158" s="159"/>
      <c r="BH158" s="158"/>
      <c r="BI158" s="159"/>
      <c r="BJ158" s="159"/>
      <c r="BK158" s="159"/>
      <c r="BL158" s="158"/>
      <c r="BM158" s="159"/>
      <c r="BN158" s="159"/>
      <c r="BO158" s="161"/>
      <c r="BP158" s="182"/>
      <c r="BQ158" s="159"/>
      <c r="BS158" s="159"/>
      <c r="BT158" s="159"/>
      <c r="BU158" s="158"/>
      <c r="BV158" s="170"/>
      <c r="BW158" s="159"/>
      <c r="BX158" s="164"/>
      <c r="BY158" s="166"/>
      <c r="BZ158" s="159"/>
      <c r="CA158" s="170"/>
      <c r="CB158" s="158"/>
      <c r="CD158" s="159"/>
      <c r="CE158" s="171"/>
      <c r="CF158" s="159"/>
      <c r="CH158" s="166"/>
    </row>
    <row r="159" spans="1:87" ht="78" customHeight="1">
      <c r="A159" s="207">
        <v>158</v>
      </c>
      <c r="B159" s="227">
        <v>45694</v>
      </c>
      <c r="C159" s="227">
        <v>45694</v>
      </c>
      <c r="D159" s="160" t="s">
        <v>1255</v>
      </c>
      <c r="E159" s="166" t="s">
        <v>1256</v>
      </c>
      <c r="F159" s="162" t="s">
        <v>1257</v>
      </c>
      <c r="G159" s="158" t="s">
        <v>1258</v>
      </c>
      <c r="H159" s="165"/>
      <c r="I159" s="155" t="s">
        <v>997</v>
      </c>
      <c r="J159" s="155"/>
      <c r="K159" s="176"/>
      <c r="L159" s="176"/>
      <c r="M159" s="155"/>
      <c r="N159" s="181"/>
      <c r="Q159" s="170"/>
      <c r="R159" s="158"/>
      <c r="T159" s="170"/>
      <c r="U159" s="182"/>
      <c r="V159" s="182"/>
      <c r="W159" s="182"/>
      <c r="X159" s="182"/>
      <c r="Y159" s="182"/>
      <c r="Z159" s="182"/>
      <c r="AA159" s="182"/>
      <c r="AB159" s="182"/>
      <c r="AC159" s="182"/>
      <c r="AD159" s="182"/>
      <c r="AE159" s="182"/>
      <c r="AF159" s="182"/>
      <c r="AG159" s="182"/>
      <c r="AH159" s="182"/>
      <c r="AI159" s="182"/>
      <c r="AJ159" s="159"/>
      <c r="AK159" s="182"/>
      <c r="AL159" s="170"/>
      <c r="AM159" s="158"/>
      <c r="AN159" s="182"/>
      <c r="AO159" s="182"/>
      <c r="AP159" s="182"/>
      <c r="AQ159" s="182"/>
      <c r="AR159" s="170"/>
      <c r="AS159" s="158"/>
      <c r="AT159" s="159"/>
      <c r="AU159" s="182"/>
      <c r="AV159" s="182"/>
      <c r="AW159" s="159"/>
      <c r="AX159" s="182"/>
      <c r="AY159" s="159"/>
      <c r="AZ159" s="158"/>
    </row>
    <row r="160" spans="1:87" ht="78" customHeight="1">
      <c r="A160" s="207">
        <v>159</v>
      </c>
      <c r="B160" s="227">
        <v>45694</v>
      </c>
      <c r="C160" s="227">
        <v>45694</v>
      </c>
      <c r="D160" s="160" t="s">
        <v>1255</v>
      </c>
      <c r="E160" s="166" t="s">
        <v>1256</v>
      </c>
      <c r="F160" s="162" t="s">
        <v>1257</v>
      </c>
      <c r="G160" s="158" t="s">
        <v>1258</v>
      </c>
      <c r="H160" s="163"/>
      <c r="I160" s="166" t="s">
        <v>992</v>
      </c>
      <c r="J160" s="166"/>
      <c r="K160" s="173"/>
      <c r="L160" s="164"/>
      <c r="M160" s="166"/>
      <c r="N160" s="161"/>
      <c r="AT160" s="159"/>
    </row>
    <row r="161" spans="1:17" ht="78" customHeight="1">
      <c r="A161" s="207">
        <v>160</v>
      </c>
      <c r="B161" s="254">
        <v>45693</v>
      </c>
      <c r="C161" s="254">
        <v>45693</v>
      </c>
      <c r="D161" s="210" t="s">
        <v>1281</v>
      </c>
      <c r="E161" s="166" t="s">
        <v>1606</v>
      </c>
      <c r="F161" s="163" t="s">
        <v>1607</v>
      </c>
      <c r="G161" s="158" t="s">
        <v>1258</v>
      </c>
      <c r="H161" s="163" t="s">
        <v>1608</v>
      </c>
      <c r="I161" s="159" t="s">
        <v>1002</v>
      </c>
      <c r="J161" s="159"/>
      <c r="K161" s="182"/>
      <c r="L161" s="159"/>
      <c r="M161" s="159"/>
      <c r="N161" s="159"/>
      <c r="O161" s="166"/>
      <c r="P161" s="166"/>
      <c r="Q161" s="155"/>
    </row>
    <row r="162" spans="1:17" s="198" customFormat="1" ht="78" customHeight="1">
      <c r="A162" s="207">
        <v>161</v>
      </c>
      <c r="B162" s="227">
        <v>45694</v>
      </c>
      <c r="C162" s="228">
        <v>45695</v>
      </c>
      <c r="D162" s="210" t="s">
        <v>1321</v>
      </c>
      <c r="E162" s="164" t="s">
        <v>1609</v>
      </c>
      <c r="F162" s="163" t="s">
        <v>1610</v>
      </c>
      <c r="G162" s="158" t="s">
        <v>1258</v>
      </c>
      <c r="H162" s="165"/>
      <c r="I162" s="171" t="s">
        <v>937</v>
      </c>
      <c r="J162" s="194"/>
      <c r="K162" s="195"/>
      <c r="L162" s="194"/>
      <c r="M162" s="196"/>
      <c r="N162" s="194"/>
      <c r="O162" s="197"/>
      <c r="P162" s="197"/>
      <c r="Q162" s="197"/>
    </row>
    <row r="163" spans="1:17" ht="78" customHeight="1">
      <c r="A163" s="207">
        <v>162</v>
      </c>
      <c r="B163" s="228">
        <v>45695</v>
      </c>
      <c r="C163" s="228">
        <v>45695</v>
      </c>
      <c r="D163" s="160" t="s">
        <v>1255</v>
      </c>
      <c r="E163" s="166" t="s">
        <v>1256</v>
      </c>
      <c r="F163" s="162" t="s">
        <v>1257</v>
      </c>
      <c r="G163" s="158" t="s">
        <v>1258</v>
      </c>
      <c r="H163" s="180" t="s">
        <v>1611</v>
      </c>
      <c r="I163" s="158" t="s">
        <v>962</v>
      </c>
      <c r="J163" s="159"/>
      <c r="N163" s="159"/>
    </row>
    <row r="164" spans="1:17" ht="78" customHeight="1">
      <c r="A164" s="207">
        <v>163</v>
      </c>
      <c r="B164" s="228">
        <v>45695</v>
      </c>
      <c r="C164" s="228">
        <v>45695</v>
      </c>
      <c r="D164" s="160" t="s">
        <v>1255</v>
      </c>
      <c r="E164" s="166" t="s">
        <v>1256</v>
      </c>
      <c r="F164" s="162" t="s">
        <v>1257</v>
      </c>
      <c r="G164" s="158" t="s">
        <v>1258</v>
      </c>
      <c r="H164" s="162"/>
      <c r="I164" s="158" t="s">
        <v>1002</v>
      </c>
    </row>
    <row r="165" spans="1:17" ht="78" customHeight="1">
      <c r="A165" s="207">
        <v>164</v>
      </c>
      <c r="B165" s="228">
        <v>45695</v>
      </c>
      <c r="C165" s="254">
        <v>45699</v>
      </c>
      <c r="D165" s="210" t="s">
        <v>1321</v>
      </c>
      <c r="E165" s="166" t="s">
        <v>1405</v>
      </c>
      <c r="F165" s="260" t="s">
        <v>1612</v>
      </c>
      <c r="G165" s="158" t="s">
        <v>1258</v>
      </c>
      <c r="H165" s="222"/>
      <c r="I165" s="149" t="s">
        <v>1401</v>
      </c>
    </row>
    <row r="166" spans="1:17" ht="78" customHeight="1">
      <c r="A166" s="207">
        <v>165</v>
      </c>
      <c r="B166" s="228">
        <v>45695</v>
      </c>
      <c r="C166" s="254">
        <v>45700</v>
      </c>
      <c r="D166" s="210" t="s">
        <v>1321</v>
      </c>
      <c r="E166" s="159" t="s">
        <v>1371</v>
      </c>
      <c r="F166" s="154" t="s">
        <v>1613</v>
      </c>
      <c r="G166" s="158" t="s">
        <v>1258</v>
      </c>
      <c r="H166" s="222"/>
      <c r="I166" s="149" t="s">
        <v>927</v>
      </c>
    </row>
    <row r="167" spans="1:17" ht="78" customHeight="1">
      <c r="A167" s="207">
        <v>166</v>
      </c>
      <c r="B167" s="254">
        <v>45696</v>
      </c>
      <c r="C167" s="254">
        <v>45696</v>
      </c>
      <c r="D167" s="254" t="s">
        <v>1281</v>
      </c>
      <c r="E167" s="166" t="s">
        <v>1614</v>
      </c>
      <c r="F167" s="154" t="s">
        <v>1615</v>
      </c>
      <c r="G167" s="158" t="s">
        <v>1258</v>
      </c>
      <c r="H167" s="244" t="s">
        <v>1616</v>
      </c>
      <c r="I167" s="149" t="s">
        <v>1002</v>
      </c>
    </row>
    <row r="168" spans="1:17" ht="78" customHeight="1">
      <c r="A168" s="207">
        <v>167</v>
      </c>
      <c r="B168" s="254">
        <v>45696</v>
      </c>
      <c r="C168" s="254">
        <v>45698</v>
      </c>
      <c r="D168" s="210" t="s">
        <v>1345</v>
      </c>
      <c r="E168" s="166" t="s">
        <v>1617</v>
      </c>
      <c r="F168" s="154" t="s">
        <v>1618</v>
      </c>
      <c r="G168" s="158" t="s">
        <v>1258</v>
      </c>
      <c r="H168" s="243" t="s">
        <v>1619</v>
      </c>
      <c r="I168" s="149" t="s">
        <v>1002</v>
      </c>
    </row>
    <row r="169" spans="1:17" ht="78" customHeight="1">
      <c r="A169" s="207">
        <v>168</v>
      </c>
      <c r="B169" s="254">
        <v>45699</v>
      </c>
      <c r="C169" s="254">
        <v>45699</v>
      </c>
      <c r="D169" s="160" t="s">
        <v>1255</v>
      </c>
      <c r="E169" s="166" t="s">
        <v>1256</v>
      </c>
      <c r="F169" s="162" t="s">
        <v>1257</v>
      </c>
      <c r="G169" s="158" t="s">
        <v>1258</v>
      </c>
      <c r="I169" s="149" t="s">
        <v>937</v>
      </c>
    </row>
    <row r="170" spans="1:17" ht="78" customHeight="1">
      <c r="A170" s="207">
        <v>169</v>
      </c>
      <c r="B170" s="254">
        <v>45699</v>
      </c>
      <c r="C170" s="254">
        <v>45699</v>
      </c>
      <c r="D170" s="210" t="s">
        <v>1345</v>
      </c>
      <c r="E170" s="166" t="s">
        <v>1620</v>
      </c>
      <c r="F170" s="180" t="s">
        <v>1621</v>
      </c>
      <c r="G170" s="158" t="s">
        <v>1258</v>
      </c>
      <c r="H170" s="154" t="s">
        <v>1622</v>
      </c>
      <c r="I170" s="149" t="s">
        <v>987</v>
      </c>
    </row>
    <row r="171" spans="1:17" ht="78" customHeight="1">
      <c r="A171" s="207">
        <v>170</v>
      </c>
      <c r="B171" s="254">
        <v>45699</v>
      </c>
      <c r="C171" s="254">
        <v>45699</v>
      </c>
      <c r="D171" s="210" t="s">
        <v>1345</v>
      </c>
      <c r="E171" s="166" t="s">
        <v>1623</v>
      </c>
      <c r="F171" s="180" t="s">
        <v>1624</v>
      </c>
      <c r="G171" s="158" t="s">
        <v>1258</v>
      </c>
      <c r="H171" s="259" t="s">
        <v>1625</v>
      </c>
      <c r="I171" s="149" t="s">
        <v>1007</v>
      </c>
    </row>
    <row r="172" spans="1:17" ht="78" customHeight="1">
      <c r="A172" s="207">
        <v>171</v>
      </c>
      <c r="B172" s="254">
        <v>45699</v>
      </c>
      <c r="C172" s="254">
        <v>45699</v>
      </c>
      <c r="D172" s="210" t="s">
        <v>1345</v>
      </c>
      <c r="E172" s="166" t="s">
        <v>1626</v>
      </c>
      <c r="F172" s="180" t="s">
        <v>1627</v>
      </c>
      <c r="G172" s="158" t="s">
        <v>1258</v>
      </c>
      <c r="H172" s="163" t="s">
        <v>1628</v>
      </c>
      <c r="I172" s="149" t="s">
        <v>1007</v>
      </c>
    </row>
    <row r="173" spans="1:17" ht="78" customHeight="1">
      <c r="A173" s="207">
        <v>172</v>
      </c>
      <c r="B173" s="254">
        <v>45699</v>
      </c>
      <c r="C173" s="254">
        <v>45699</v>
      </c>
      <c r="D173" s="210" t="s">
        <v>1345</v>
      </c>
      <c r="E173" s="164" t="s">
        <v>1629</v>
      </c>
      <c r="F173" s="163" t="s">
        <v>1630</v>
      </c>
      <c r="G173" s="158" t="s">
        <v>1258</v>
      </c>
      <c r="H173" s="163" t="s">
        <v>1631</v>
      </c>
      <c r="I173" s="155" t="s">
        <v>987</v>
      </c>
    </row>
    <row r="174" spans="1:17" ht="78" customHeight="1">
      <c r="A174" s="207">
        <v>173</v>
      </c>
      <c r="B174" s="254">
        <v>45699</v>
      </c>
      <c r="C174" s="254">
        <v>45699</v>
      </c>
      <c r="D174" s="256" t="s">
        <v>1264</v>
      </c>
      <c r="E174" s="149" t="s">
        <v>1632</v>
      </c>
      <c r="F174" s="237" t="s">
        <v>1633</v>
      </c>
      <c r="G174" s="158" t="s">
        <v>1258</v>
      </c>
      <c r="H174" s="172" t="s">
        <v>1634</v>
      </c>
      <c r="I174" s="155" t="s">
        <v>927</v>
      </c>
      <c r="J174" s="181"/>
      <c r="N174" s="171"/>
    </row>
    <row r="175" spans="1:17" ht="78" customHeight="1">
      <c r="A175" s="207">
        <v>174</v>
      </c>
      <c r="B175" s="227">
        <v>45698</v>
      </c>
      <c r="C175" s="227">
        <v>45698</v>
      </c>
      <c r="D175" s="210" t="s">
        <v>1281</v>
      </c>
      <c r="E175" s="176" t="s">
        <v>1523</v>
      </c>
      <c r="F175" s="180" t="s">
        <v>1635</v>
      </c>
      <c r="G175" s="158" t="s">
        <v>1258</v>
      </c>
      <c r="H175" s="154" t="s">
        <v>1258</v>
      </c>
      <c r="I175" s="159" t="s">
        <v>1007</v>
      </c>
      <c r="J175" s="158"/>
    </row>
    <row r="176" spans="1:17" ht="78" customHeight="1">
      <c r="A176" s="207">
        <v>175</v>
      </c>
      <c r="B176" s="227">
        <v>45698</v>
      </c>
      <c r="C176" s="227">
        <v>45700</v>
      </c>
      <c r="D176" s="210" t="s">
        <v>1321</v>
      </c>
      <c r="E176" s="158" t="s">
        <v>1636</v>
      </c>
      <c r="F176" s="154" t="s">
        <v>1637</v>
      </c>
      <c r="G176" s="158" t="s">
        <v>1258</v>
      </c>
      <c r="I176" s="149" t="s">
        <v>1333</v>
      </c>
    </row>
    <row r="177" spans="1:15" ht="78" customHeight="1">
      <c r="A177" s="207">
        <v>176</v>
      </c>
      <c r="B177" s="227">
        <v>45698</v>
      </c>
      <c r="C177" s="254">
        <v>45702</v>
      </c>
      <c r="D177" s="210" t="s">
        <v>1321</v>
      </c>
      <c r="E177" s="149" t="s">
        <v>1638</v>
      </c>
      <c r="F177" s="200" t="s">
        <v>1639</v>
      </c>
      <c r="G177" s="158" t="s">
        <v>1258</v>
      </c>
      <c r="I177" s="149" t="s">
        <v>1333</v>
      </c>
    </row>
    <row r="178" spans="1:15" ht="78" customHeight="1">
      <c r="A178" s="207">
        <v>177</v>
      </c>
      <c r="B178" s="254">
        <v>45699</v>
      </c>
      <c r="C178" s="227">
        <v>45700</v>
      </c>
      <c r="D178" s="210" t="s">
        <v>1321</v>
      </c>
      <c r="E178" s="169" t="s">
        <v>1640</v>
      </c>
      <c r="F178" s="231" t="s">
        <v>1641</v>
      </c>
      <c r="G178" s="158" t="s">
        <v>1258</v>
      </c>
      <c r="I178" s="149" t="s">
        <v>1333</v>
      </c>
    </row>
    <row r="179" spans="1:15" ht="78" customHeight="1">
      <c r="A179" s="207">
        <v>178</v>
      </c>
      <c r="B179" s="254">
        <v>45699</v>
      </c>
      <c r="C179" s="254">
        <v>45702</v>
      </c>
      <c r="D179" s="210" t="s">
        <v>1321</v>
      </c>
      <c r="E179" s="166"/>
      <c r="F179" s="163" t="s">
        <v>1642</v>
      </c>
      <c r="G179" s="158" t="s">
        <v>1258</v>
      </c>
      <c r="H179" s="165"/>
      <c r="I179" s="173" t="s">
        <v>1002</v>
      </c>
      <c r="J179" s="161"/>
    </row>
    <row r="180" spans="1:15" ht="78" customHeight="1">
      <c r="A180" s="207">
        <v>179</v>
      </c>
      <c r="B180" s="227">
        <v>45700</v>
      </c>
      <c r="C180" s="227">
        <v>45700</v>
      </c>
      <c r="D180" s="160" t="s">
        <v>1255</v>
      </c>
      <c r="E180" s="166" t="s">
        <v>1256</v>
      </c>
      <c r="F180" s="162" t="s">
        <v>1257</v>
      </c>
      <c r="G180" s="158" t="s">
        <v>1258</v>
      </c>
      <c r="H180" s="165"/>
      <c r="I180" s="149" t="s">
        <v>957</v>
      </c>
    </row>
    <row r="181" spans="1:15" ht="78" customHeight="1">
      <c r="A181" s="207">
        <v>180</v>
      </c>
      <c r="B181" s="227">
        <v>45700</v>
      </c>
      <c r="C181" s="227">
        <v>45700</v>
      </c>
      <c r="D181" s="210" t="s">
        <v>1345</v>
      </c>
      <c r="E181" s="161" t="s">
        <v>1643</v>
      </c>
      <c r="F181" s="180" t="s">
        <v>1644</v>
      </c>
      <c r="G181" s="158" t="s">
        <v>1258</v>
      </c>
      <c r="H181" s="237" t="s">
        <v>1645</v>
      </c>
      <c r="I181" s="149" t="s">
        <v>962</v>
      </c>
    </row>
    <row r="182" spans="1:15" ht="78" customHeight="1">
      <c r="A182" s="207">
        <v>181</v>
      </c>
      <c r="B182" s="227">
        <v>45700</v>
      </c>
      <c r="C182" s="267">
        <v>45701</v>
      </c>
      <c r="D182" s="210" t="s">
        <v>1321</v>
      </c>
      <c r="E182" s="158" t="s">
        <v>1646</v>
      </c>
      <c r="F182" s="179" t="s">
        <v>1647</v>
      </c>
      <c r="G182" s="158" t="s">
        <v>1258</v>
      </c>
      <c r="H182" s="220" t="s">
        <v>1648</v>
      </c>
      <c r="I182" s="181" t="s">
        <v>927</v>
      </c>
    </row>
    <row r="183" spans="1:15" ht="78" customHeight="1">
      <c r="A183" s="207">
        <v>182</v>
      </c>
      <c r="B183" s="267">
        <v>45701</v>
      </c>
      <c r="C183" s="267">
        <v>45701</v>
      </c>
      <c r="D183" s="160" t="s">
        <v>1255</v>
      </c>
      <c r="E183" s="166" t="s">
        <v>1256</v>
      </c>
      <c r="F183" s="162" t="s">
        <v>1257</v>
      </c>
      <c r="G183" s="158" t="s">
        <v>1258</v>
      </c>
      <c r="H183" s="162"/>
      <c r="I183" s="171" t="s">
        <v>947</v>
      </c>
    </row>
    <row r="184" spans="1:15" ht="78" customHeight="1">
      <c r="A184" s="207">
        <v>183</v>
      </c>
      <c r="B184" s="267">
        <v>45701</v>
      </c>
      <c r="C184" s="267">
        <v>45701</v>
      </c>
      <c r="D184" s="160" t="s">
        <v>1255</v>
      </c>
      <c r="E184" s="166" t="s">
        <v>1256</v>
      </c>
      <c r="F184" s="162" t="s">
        <v>1257</v>
      </c>
      <c r="G184" s="158" t="s">
        <v>1258</v>
      </c>
      <c r="H184" s="175"/>
      <c r="I184" s="158" t="s">
        <v>932</v>
      </c>
    </row>
    <row r="185" spans="1:15" ht="78" customHeight="1">
      <c r="A185" s="207">
        <v>184</v>
      </c>
      <c r="B185" s="267">
        <v>45701</v>
      </c>
      <c r="C185" s="152"/>
      <c r="D185" s="210" t="s">
        <v>1321</v>
      </c>
      <c r="E185" s="155" t="s">
        <v>1438</v>
      </c>
      <c r="F185" s="236" t="s">
        <v>1649</v>
      </c>
      <c r="G185" s="158" t="s">
        <v>1258</v>
      </c>
      <c r="I185" s="149" t="s">
        <v>1333</v>
      </c>
    </row>
    <row r="186" spans="1:15" ht="78" customHeight="1">
      <c r="A186" s="207">
        <v>185</v>
      </c>
      <c r="B186" s="267">
        <v>45701</v>
      </c>
      <c r="C186" s="254">
        <v>45702</v>
      </c>
      <c r="D186" s="210" t="s">
        <v>1321</v>
      </c>
      <c r="E186" s="166" t="s">
        <v>1405</v>
      </c>
      <c r="F186" s="163" t="s">
        <v>1650</v>
      </c>
      <c r="G186" s="158" t="s">
        <v>1258</v>
      </c>
      <c r="H186" s="172"/>
      <c r="I186" s="161" t="s">
        <v>1401</v>
      </c>
    </row>
    <row r="187" spans="1:15" ht="78" customHeight="1">
      <c r="A187" s="207">
        <v>186</v>
      </c>
      <c r="B187" s="267">
        <v>45701</v>
      </c>
      <c r="C187" s="254">
        <v>45702</v>
      </c>
      <c r="D187" s="210" t="s">
        <v>1321</v>
      </c>
      <c r="E187" s="167" t="s">
        <v>1651</v>
      </c>
      <c r="F187" s="202" t="s">
        <v>1652</v>
      </c>
      <c r="G187" s="158" t="s">
        <v>1258</v>
      </c>
      <c r="I187" s="149" t="s">
        <v>1333</v>
      </c>
    </row>
    <row r="188" spans="1:15" ht="78" customHeight="1">
      <c r="A188" s="207">
        <v>187</v>
      </c>
      <c r="B188" s="267">
        <v>45701</v>
      </c>
      <c r="C188" s="254">
        <v>45706</v>
      </c>
      <c r="D188" s="210" t="s">
        <v>1321</v>
      </c>
      <c r="E188" s="161" t="s">
        <v>1489</v>
      </c>
      <c r="F188" s="163" t="s">
        <v>1653</v>
      </c>
      <c r="G188" s="158" t="s">
        <v>1258</v>
      </c>
      <c r="H188" s="220"/>
      <c r="I188" s="149" t="s">
        <v>957</v>
      </c>
    </row>
    <row r="189" spans="1:15" ht="78" customHeight="1">
      <c r="A189" s="207">
        <v>188</v>
      </c>
      <c r="B189" s="267">
        <v>45701</v>
      </c>
      <c r="C189" s="254">
        <v>45702</v>
      </c>
      <c r="D189" s="210" t="s">
        <v>1321</v>
      </c>
      <c r="E189" s="161" t="s">
        <v>1467</v>
      </c>
      <c r="F189" s="237" t="s">
        <v>1654</v>
      </c>
      <c r="G189" s="158" t="s">
        <v>1258</v>
      </c>
      <c r="H189" s="220"/>
      <c r="I189" s="149" t="s">
        <v>927</v>
      </c>
    </row>
    <row r="190" spans="1:15" ht="78" customHeight="1">
      <c r="A190" s="207">
        <v>189</v>
      </c>
      <c r="B190" s="267">
        <v>45701</v>
      </c>
      <c r="C190" s="254">
        <v>45706</v>
      </c>
      <c r="D190" s="210" t="s">
        <v>1321</v>
      </c>
      <c r="E190" s="166" t="s">
        <v>1655</v>
      </c>
      <c r="F190" s="237" t="s">
        <v>1656</v>
      </c>
      <c r="G190" s="158" t="s">
        <v>1258</v>
      </c>
      <c r="H190" s="165"/>
      <c r="I190" s="181" t="s">
        <v>1333</v>
      </c>
      <c r="J190" s="181"/>
      <c r="O190" s="171"/>
    </row>
    <row r="191" spans="1:15" ht="78" customHeight="1">
      <c r="A191" s="207">
        <v>190</v>
      </c>
      <c r="B191" s="254">
        <v>45702</v>
      </c>
      <c r="C191" s="254">
        <v>45702</v>
      </c>
      <c r="D191" s="210" t="s">
        <v>1321</v>
      </c>
      <c r="E191" s="166" t="s">
        <v>1657</v>
      </c>
      <c r="F191" s="180" t="s">
        <v>1658</v>
      </c>
      <c r="G191" s="158" t="s">
        <v>1258</v>
      </c>
      <c r="H191" s="172"/>
      <c r="I191" s="166" t="s">
        <v>1333</v>
      </c>
      <c r="J191" s="158"/>
    </row>
    <row r="192" spans="1:15" ht="78" customHeight="1">
      <c r="A192" s="207">
        <v>191</v>
      </c>
      <c r="B192" s="254">
        <v>45702</v>
      </c>
      <c r="C192" s="254">
        <v>45702</v>
      </c>
      <c r="D192" s="160" t="s">
        <v>1255</v>
      </c>
      <c r="E192" s="166" t="s">
        <v>1256</v>
      </c>
      <c r="F192" s="162" t="s">
        <v>1257</v>
      </c>
      <c r="G192" s="158" t="s">
        <v>1258</v>
      </c>
      <c r="H192" s="260"/>
      <c r="I192" s="167" t="s">
        <v>952</v>
      </c>
    </row>
    <row r="193" spans="1:15" ht="78" customHeight="1">
      <c r="A193" s="207">
        <v>192</v>
      </c>
      <c r="B193" s="254">
        <v>45702</v>
      </c>
      <c r="C193" s="254">
        <v>45702</v>
      </c>
      <c r="D193" s="210" t="s">
        <v>1281</v>
      </c>
      <c r="E193" s="159" t="s">
        <v>1530</v>
      </c>
      <c r="F193" s="243" t="s">
        <v>1659</v>
      </c>
      <c r="G193" s="158" t="s">
        <v>1258</v>
      </c>
      <c r="H193" s="244" t="s">
        <v>1660</v>
      </c>
      <c r="I193" s="149" t="s">
        <v>962</v>
      </c>
    </row>
    <row r="194" spans="1:15" ht="78" customHeight="1">
      <c r="A194" s="207">
        <v>193</v>
      </c>
      <c r="B194" s="254">
        <v>45705</v>
      </c>
      <c r="C194" s="152">
        <v>45721</v>
      </c>
      <c r="D194" s="210" t="s">
        <v>1321</v>
      </c>
      <c r="E194" s="164" t="s">
        <v>1416</v>
      </c>
      <c r="F194" s="163" t="s">
        <v>1661</v>
      </c>
      <c r="G194" s="158" t="s">
        <v>1258</v>
      </c>
      <c r="H194" s="247"/>
      <c r="I194" s="176" t="s">
        <v>927</v>
      </c>
      <c r="J194" s="176"/>
      <c r="K194" s="176"/>
      <c r="L194" s="181"/>
    </row>
    <row r="195" spans="1:15" ht="78" customHeight="1">
      <c r="A195" s="207">
        <v>194</v>
      </c>
      <c r="B195" s="254">
        <v>45705</v>
      </c>
      <c r="C195" s="254">
        <v>45706</v>
      </c>
      <c r="D195" s="210" t="s">
        <v>1321</v>
      </c>
      <c r="E195" s="159" t="s">
        <v>1662</v>
      </c>
      <c r="F195" s="163" t="s">
        <v>1663</v>
      </c>
      <c r="G195" s="158" t="s">
        <v>1258</v>
      </c>
      <c r="H195" s="236"/>
      <c r="I195" s="182" t="s">
        <v>1333</v>
      </c>
      <c r="J195" s="182"/>
      <c r="K195" s="182"/>
      <c r="L195" s="158"/>
    </row>
    <row r="196" spans="1:15" ht="78" customHeight="1">
      <c r="A196" s="207">
        <v>195</v>
      </c>
      <c r="B196" s="254">
        <v>45705</v>
      </c>
      <c r="C196" s="254">
        <v>45706</v>
      </c>
      <c r="D196" s="210" t="s">
        <v>1321</v>
      </c>
      <c r="E196" s="158" t="s">
        <v>1664</v>
      </c>
      <c r="F196" s="154" t="s">
        <v>1665</v>
      </c>
      <c r="G196" s="158" t="s">
        <v>1258</v>
      </c>
      <c r="H196" s="154"/>
      <c r="I196" s="149" t="s">
        <v>1007</v>
      </c>
    </row>
    <row r="197" spans="1:15" ht="78" customHeight="1">
      <c r="A197" s="207">
        <v>196</v>
      </c>
      <c r="B197" s="254">
        <v>45705</v>
      </c>
      <c r="C197" s="254">
        <v>45705</v>
      </c>
      <c r="D197" s="160" t="s">
        <v>1255</v>
      </c>
      <c r="E197" s="166" t="s">
        <v>1256</v>
      </c>
      <c r="F197" s="162" t="s">
        <v>1257</v>
      </c>
      <c r="G197" s="158" t="s">
        <v>1258</v>
      </c>
      <c r="H197" s="165"/>
      <c r="I197" s="161" t="s">
        <v>987</v>
      </c>
    </row>
    <row r="198" spans="1:15" ht="78" customHeight="1">
      <c r="A198" s="207">
        <v>197</v>
      </c>
      <c r="B198" s="254">
        <v>45706</v>
      </c>
      <c r="C198" s="254">
        <v>45706</v>
      </c>
      <c r="D198" s="210" t="s">
        <v>1321</v>
      </c>
      <c r="E198" s="176" t="s">
        <v>1666</v>
      </c>
      <c r="F198" s="268" t="s">
        <v>1667</v>
      </c>
      <c r="G198" s="158" t="s">
        <v>1258</v>
      </c>
      <c r="I198" s="149" t="s">
        <v>927</v>
      </c>
    </row>
    <row r="199" spans="1:15" ht="78" customHeight="1">
      <c r="A199" s="207">
        <v>198</v>
      </c>
      <c r="B199" s="254">
        <v>45706</v>
      </c>
      <c r="C199" s="254">
        <v>45706</v>
      </c>
      <c r="D199" s="210" t="s">
        <v>1321</v>
      </c>
      <c r="E199" s="161" t="s">
        <v>1662</v>
      </c>
      <c r="F199" s="163" t="s">
        <v>1668</v>
      </c>
      <c r="G199" s="158" t="s">
        <v>1258</v>
      </c>
      <c r="H199" s="247"/>
      <c r="I199" s="149" t="s">
        <v>927</v>
      </c>
      <c r="O199" s="171"/>
    </row>
    <row r="200" spans="1:15" ht="78" customHeight="1">
      <c r="A200" s="207">
        <v>199</v>
      </c>
      <c r="B200" s="254">
        <v>45706</v>
      </c>
      <c r="C200" s="241">
        <v>45709</v>
      </c>
      <c r="D200" s="210" t="s">
        <v>1321</v>
      </c>
      <c r="E200" s="149" t="s">
        <v>1438</v>
      </c>
      <c r="F200" s="163" t="s">
        <v>1669</v>
      </c>
      <c r="G200" s="158" t="s">
        <v>1258</v>
      </c>
      <c r="H200" s="247"/>
      <c r="I200" s="149" t="s">
        <v>1012</v>
      </c>
    </row>
    <row r="201" spans="1:15" ht="78" customHeight="1">
      <c r="A201" s="207">
        <v>200</v>
      </c>
      <c r="B201" s="254">
        <v>45707</v>
      </c>
      <c r="C201" s="254">
        <v>45707</v>
      </c>
      <c r="D201" s="210" t="s">
        <v>1321</v>
      </c>
      <c r="E201" s="169" t="s">
        <v>1670</v>
      </c>
      <c r="F201" s="163" t="s">
        <v>1671</v>
      </c>
      <c r="G201" s="158" t="s">
        <v>1258</v>
      </c>
      <c r="H201" s="165"/>
      <c r="I201" s="149" t="s">
        <v>957</v>
      </c>
    </row>
    <row r="202" spans="1:15" ht="78" customHeight="1">
      <c r="A202" s="207">
        <v>201</v>
      </c>
      <c r="B202" s="254">
        <v>45707</v>
      </c>
      <c r="C202" s="269">
        <v>45708</v>
      </c>
      <c r="D202" s="210" t="s">
        <v>1321</v>
      </c>
      <c r="E202" s="161" t="s">
        <v>1672</v>
      </c>
      <c r="F202" s="270" t="s" ph="1">
        <v>1673</v>
      </c>
      <c r="G202" s="158" t="s">
        <v>1258</v>
      </c>
      <c r="H202" s="236"/>
      <c r="I202" s="149" t="s">
        <v>927</v>
      </c>
    </row>
    <row r="203" spans="1:15" ht="78" customHeight="1">
      <c r="A203" s="207">
        <v>202</v>
      </c>
      <c r="B203" s="254">
        <v>45707</v>
      </c>
      <c r="C203" s="269">
        <v>45708</v>
      </c>
      <c r="D203" s="210" t="s">
        <v>1321</v>
      </c>
      <c r="E203" s="158" t="s">
        <v>1445</v>
      </c>
      <c r="F203" s="163" t="s">
        <v>1674</v>
      </c>
      <c r="G203" s="158" t="s">
        <v>1258</v>
      </c>
      <c r="H203" s="247"/>
      <c r="I203" s="161" t="s">
        <v>1002</v>
      </c>
    </row>
    <row r="204" spans="1:15" ht="78" customHeight="1">
      <c r="A204" s="207">
        <v>203</v>
      </c>
      <c r="B204" s="254">
        <v>45707</v>
      </c>
      <c r="C204" s="269">
        <v>45708</v>
      </c>
      <c r="D204" s="210" t="s">
        <v>1321</v>
      </c>
      <c r="E204" s="161" t="s">
        <v>1675</v>
      </c>
      <c r="F204" s="163" t="s">
        <v>1676</v>
      </c>
      <c r="G204" s="158" t="s">
        <v>1258</v>
      </c>
      <c r="H204" s="247"/>
      <c r="I204" s="149" t="s">
        <v>957</v>
      </c>
    </row>
    <row r="205" spans="1:15" ht="78" customHeight="1">
      <c r="A205" s="207">
        <v>204</v>
      </c>
      <c r="B205" s="254">
        <v>45707</v>
      </c>
      <c r="C205" s="269">
        <v>45708</v>
      </c>
      <c r="D205" s="210" t="s">
        <v>1321</v>
      </c>
      <c r="E205" s="158" t="s">
        <v>1670</v>
      </c>
      <c r="F205" s="260" t="s">
        <v>1677</v>
      </c>
      <c r="G205" s="158" t="s">
        <v>1258</v>
      </c>
      <c r="H205" s="224"/>
      <c r="I205" s="149" t="s">
        <v>957</v>
      </c>
    </row>
    <row r="206" spans="1:15" ht="78" customHeight="1">
      <c r="A206" s="207">
        <v>205</v>
      </c>
      <c r="B206" s="254">
        <v>45707</v>
      </c>
      <c r="C206" s="269">
        <v>45708</v>
      </c>
      <c r="D206" s="210" t="s">
        <v>1321</v>
      </c>
      <c r="E206" s="149" t="s">
        <v>1678</v>
      </c>
      <c r="F206" s="154" t="s">
        <v>1679</v>
      </c>
      <c r="G206" s="158" t="s">
        <v>1258</v>
      </c>
      <c r="I206" s="149" t="s">
        <v>1333</v>
      </c>
    </row>
    <row r="207" spans="1:15" ht="78" customHeight="1">
      <c r="A207" s="207">
        <v>206</v>
      </c>
      <c r="B207" s="269">
        <v>45708</v>
      </c>
      <c r="C207" s="269">
        <v>45708</v>
      </c>
      <c r="D207" s="210" t="s">
        <v>1321</v>
      </c>
      <c r="E207" s="149" t="s">
        <v>1646</v>
      </c>
      <c r="F207" s="154" t="s">
        <v>1680</v>
      </c>
      <c r="G207" s="158" t="s">
        <v>1258</v>
      </c>
      <c r="H207" s="154"/>
      <c r="I207" s="149" t="s">
        <v>987</v>
      </c>
    </row>
    <row r="208" spans="1:15" ht="78" customHeight="1">
      <c r="A208" s="207">
        <v>207</v>
      </c>
      <c r="B208" s="241">
        <v>45709</v>
      </c>
      <c r="C208" s="241">
        <v>45709</v>
      </c>
      <c r="D208" s="210" t="s">
        <v>1321</v>
      </c>
      <c r="E208" s="149" t="s">
        <v>1646</v>
      </c>
      <c r="F208" s="154" t="s">
        <v>1681</v>
      </c>
      <c r="G208" s="158" t="s">
        <v>1258</v>
      </c>
      <c r="H208" s="154"/>
      <c r="I208" s="149" t="s">
        <v>987</v>
      </c>
    </row>
    <row r="209" spans="1:9" ht="78" customHeight="1">
      <c r="A209" s="207">
        <v>208</v>
      </c>
      <c r="B209" s="241">
        <v>45709</v>
      </c>
      <c r="C209" s="241">
        <v>45709</v>
      </c>
      <c r="D209" s="210" t="s">
        <v>1281</v>
      </c>
      <c r="E209" s="149" t="s">
        <v>1682</v>
      </c>
      <c r="F209" s="154" t="s">
        <v>1683</v>
      </c>
      <c r="G209" s="158" t="s">
        <v>1258</v>
      </c>
      <c r="H209" s="154" t="s">
        <v>1684</v>
      </c>
      <c r="I209" s="149" t="s">
        <v>962</v>
      </c>
    </row>
    <row r="210" spans="1:9" ht="78" customHeight="1">
      <c r="A210" s="207">
        <v>209</v>
      </c>
      <c r="B210" s="241">
        <v>45709</v>
      </c>
      <c r="C210" s="152">
        <v>45712</v>
      </c>
      <c r="D210" s="210" t="s">
        <v>1321</v>
      </c>
      <c r="E210" s="149" t="s">
        <v>1685</v>
      </c>
      <c r="F210" s="154" t="s">
        <v>1686</v>
      </c>
      <c r="G210" s="158" t="s">
        <v>1258</v>
      </c>
      <c r="I210" s="149" t="s">
        <v>1333</v>
      </c>
    </row>
    <row r="211" spans="1:9" ht="78" customHeight="1">
      <c r="A211" s="207">
        <v>210</v>
      </c>
      <c r="B211" s="241">
        <v>45709</v>
      </c>
      <c r="C211" s="152">
        <v>45712</v>
      </c>
      <c r="D211" s="210" t="s">
        <v>1321</v>
      </c>
      <c r="E211" s="149" t="s">
        <v>1687</v>
      </c>
      <c r="F211" s="154" t="s">
        <v>1688</v>
      </c>
      <c r="G211" s="158" t="s">
        <v>1258</v>
      </c>
      <c r="I211" s="149" t="s">
        <v>972</v>
      </c>
    </row>
    <row r="212" spans="1:9" ht="78" customHeight="1">
      <c r="A212" s="207">
        <v>211</v>
      </c>
      <c r="B212" s="241">
        <v>45709</v>
      </c>
      <c r="C212" s="152">
        <v>45720</v>
      </c>
      <c r="D212" s="210" t="s">
        <v>1321</v>
      </c>
      <c r="E212" s="149" t="s">
        <v>1672</v>
      </c>
      <c r="F212" s="154" t="s">
        <v>1689</v>
      </c>
      <c r="G212" s="158" t="s">
        <v>1258</v>
      </c>
      <c r="I212" s="149" t="s">
        <v>927</v>
      </c>
    </row>
    <row r="213" spans="1:9" ht="78" customHeight="1">
      <c r="A213" s="207">
        <v>212</v>
      </c>
      <c r="B213" s="152">
        <v>45712</v>
      </c>
      <c r="C213" s="152">
        <v>45713</v>
      </c>
      <c r="D213" s="210" t="s">
        <v>1321</v>
      </c>
      <c r="E213" s="149" t="s">
        <v>1690</v>
      </c>
      <c r="F213" s="154" t="s">
        <v>1691</v>
      </c>
      <c r="G213" s="158" t="s">
        <v>1258</v>
      </c>
      <c r="H213" s="154"/>
      <c r="I213" s="149" t="s">
        <v>1401</v>
      </c>
    </row>
    <row r="214" spans="1:9" ht="78" customHeight="1">
      <c r="A214" s="207">
        <v>213</v>
      </c>
      <c r="B214" s="152">
        <v>45713</v>
      </c>
      <c r="C214" s="152">
        <v>45720</v>
      </c>
      <c r="D214" s="210" t="s">
        <v>1321</v>
      </c>
      <c r="E214" s="149" t="s">
        <v>1692</v>
      </c>
      <c r="F214" s="154" t="s">
        <v>1693</v>
      </c>
      <c r="G214" s="158" t="s">
        <v>1258</v>
      </c>
      <c r="H214" s="154"/>
      <c r="I214" s="149" t="s">
        <v>1333</v>
      </c>
    </row>
    <row r="215" spans="1:9" ht="78" customHeight="1">
      <c r="A215" s="207">
        <v>214</v>
      </c>
      <c r="B215" s="241">
        <v>45709</v>
      </c>
      <c r="C215" s="152">
        <v>45714</v>
      </c>
      <c r="D215" s="210" t="s">
        <v>1345</v>
      </c>
      <c r="E215" s="181" t="s">
        <v>1694</v>
      </c>
      <c r="F215" s="154" t="s">
        <v>1695</v>
      </c>
      <c r="G215" s="158" t="s">
        <v>1258</v>
      </c>
      <c r="H215" s="156" t="s">
        <v>1696</v>
      </c>
      <c r="I215" s="149" t="s">
        <v>1012</v>
      </c>
    </row>
    <row r="216" spans="1:9" ht="78" customHeight="1">
      <c r="A216" s="207">
        <v>215</v>
      </c>
      <c r="B216" s="152">
        <v>45710</v>
      </c>
      <c r="C216" s="152">
        <v>45713</v>
      </c>
      <c r="D216" s="210" t="s">
        <v>1345</v>
      </c>
      <c r="E216" s="161" t="s">
        <v>1697</v>
      </c>
      <c r="F216" s="154" t="s">
        <v>1698</v>
      </c>
      <c r="G216" s="158" t="s">
        <v>1258</v>
      </c>
      <c r="H216" s="154" t="s">
        <v>1699</v>
      </c>
      <c r="I216" s="149" t="s">
        <v>1333</v>
      </c>
    </row>
    <row r="217" spans="1:9" ht="78" customHeight="1">
      <c r="A217" s="207">
        <v>216</v>
      </c>
      <c r="B217" s="152">
        <v>45712</v>
      </c>
      <c r="C217" s="152">
        <v>45713</v>
      </c>
      <c r="D217" s="210" t="s">
        <v>1345</v>
      </c>
      <c r="E217" s="149" t="s">
        <v>1700</v>
      </c>
      <c r="F217" s="154" t="s">
        <v>1701</v>
      </c>
      <c r="G217" s="158" t="s">
        <v>1258</v>
      </c>
      <c r="H217" s="154" t="s">
        <v>1702</v>
      </c>
      <c r="I217" s="149" t="s">
        <v>1333</v>
      </c>
    </row>
    <row r="218" spans="1:9" ht="78" customHeight="1">
      <c r="A218" s="207">
        <v>217</v>
      </c>
      <c r="B218" s="152">
        <v>45712</v>
      </c>
      <c r="C218" s="152">
        <v>45712</v>
      </c>
      <c r="D218" s="160" t="s">
        <v>1255</v>
      </c>
      <c r="E218" s="166" t="s">
        <v>1256</v>
      </c>
      <c r="F218" s="162" t="s">
        <v>1257</v>
      </c>
      <c r="G218" s="158" t="s">
        <v>1258</v>
      </c>
      <c r="I218" s="149" t="s">
        <v>967</v>
      </c>
    </row>
    <row r="219" spans="1:9" ht="78" customHeight="1">
      <c r="A219" s="207">
        <v>218</v>
      </c>
      <c r="B219" s="152">
        <v>45714</v>
      </c>
      <c r="C219" s="152">
        <v>45720</v>
      </c>
      <c r="D219" s="210" t="s">
        <v>1321</v>
      </c>
      <c r="E219" s="149" t="s">
        <v>1703</v>
      </c>
      <c r="F219" s="154" t="s">
        <v>1704</v>
      </c>
      <c r="G219" s="158" t="s">
        <v>1258</v>
      </c>
      <c r="I219" s="149" t="s">
        <v>927</v>
      </c>
    </row>
    <row r="220" spans="1:9" ht="78" customHeight="1">
      <c r="A220" s="207">
        <v>219</v>
      </c>
      <c r="B220" s="152">
        <v>45713</v>
      </c>
      <c r="C220" s="152">
        <v>45713</v>
      </c>
      <c r="D220" s="210" t="s">
        <v>1281</v>
      </c>
      <c r="E220" s="149" t="s">
        <v>1705</v>
      </c>
      <c r="F220" s="154" t="s">
        <v>1706</v>
      </c>
      <c r="G220" s="158" t="s">
        <v>1258</v>
      </c>
      <c r="H220" s="154" t="s">
        <v>1707</v>
      </c>
      <c r="I220" s="149" t="s">
        <v>932</v>
      </c>
    </row>
    <row r="221" spans="1:9" ht="78" customHeight="1">
      <c r="A221" s="207">
        <v>220</v>
      </c>
      <c r="B221" s="152">
        <v>45720</v>
      </c>
      <c r="C221" s="152">
        <v>45720</v>
      </c>
      <c r="D221" s="210" t="s">
        <v>1321</v>
      </c>
      <c r="E221" s="149" t="s">
        <v>1708</v>
      </c>
      <c r="F221" s="154" t="s">
        <v>1709</v>
      </c>
      <c r="G221" s="158" t="s">
        <v>1258</v>
      </c>
      <c r="H221" s="154" t="s">
        <v>1710</v>
      </c>
      <c r="I221" s="149" t="s">
        <v>927</v>
      </c>
    </row>
    <row r="222" spans="1:9" ht="78" customHeight="1">
      <c r="A222" s="207">
        <v>221</v>
      </c>
      <c r="B222" s="152">
        <v>45720</v>
      </c>
      <c r="C222" s="152">
        <v>45720</v>
      </c>
      <c r="D222" s="210" t="s">
        <v>1321</v>
      </c>
      <c r="E222" s="149" t="s">
        <v>1711</v>
      </c>
      <c r="F222" s="154" t="s">
        <v>1712</v>
      </c>
      <c r="G222" s="158" t="s">
        <v>1258</v>
      </c>
      <c r="H222" s="154" t="s">
        <v>1713</v>
      </c>
      <c r="I222" s="149" t="s">
        <v>927</v>
      </c>
    </row>
    <row r="223" spans="1:9" ht="78" customHeight="1">
      <c r="A223" s="207">
        <v>222</v>
      </c>
      <c r="B223" s="152">
        <v>45720</v>
      </c>
      <c r="C223" s="152">
        <v>45721</v>
      </c>
      <c r="D223" s="210" t="s">
        <v>1321</v>
      </c>
      <c r="E223" s="149" t="s">
        <v>1714</v>
      </c>
      <c r="F223" s="156" t="s">
        <v>1715</v>
      </c>
      <c r="G223" s="158" t="s">
        <v>1258</v>
      </c>
      <c r="I223" s="149" t="s">
        <v>937</v>
      </c>
    </row>
    <row r="224" spans="1:9" ht="78" customHeight="1">
      <c r="A224" s="207">
        <v>223</v>
      </c>
      <c r="B224" s="152">
        <v>45720</v>
      </c>
      <c r="C224" s="152">
        <v>45720</v>
      </c>
      <c r="D224" s="210" t="s">
        <v>1281</v>
      </c>
      <c r="E224" s="149" t="s">
        <v>1716</v>
      </c>
      <c r="F224" s="156" t="s">
        <v>1717</v>
      </c>
      <c r="G224" s="158" t="s">
        <v>1258</v>
      </c>
      <c r="H224" s="154" t="s">
        <v>1718</v>
      </c>
      <c r="I224" s="149" t="s">
        <v>972</v>
      </c>
    </row>
    <row r="225" spans="1:9" ht="78" customHeight="1">
      <c r="A225" s="207">
        <v>224</v>
      </c>
      <c r="B225" s="152">
        <v>45720</v>
      </c>
      <c r="C225" s="152">
        <v>45720</v>
      </c>
      <c r="D225" s="210" t="s">
        <v>1281</v>
      </c>
      <c r="E225" s="149" t="s">
        <v>1719</v>
      </c>
      <c r="F225" s="154" t="s">
        <v>1720</v>
      </c>
      <c r="G225" s="158" t="s">
        <v>1258</v>
      </c>
      <c r="H225" s="154" t="s">
        <v>1721</v>
      </c>
      <c r="I225" s="149" t="s">
        <v>962</v>
      </c>
    </row>
    <row r="226" spans="1:9" ht="78" customHeight="1">
      <c r="A226" s="207">
        <v>225</v>
      </c>
      <c r="B226" s="152">
        <v>45721</v>
      </c>
      <c r="C226" s="152">
        <v>45721</v>
      </c>
      <c r="D226" s="160" t="s">
        <v>1255</v>
      </c>
      <c r="E226" s="166" t="s">
        <v>1256</v>
      </c>
      <c r="F226" s="162" t="s">
        <v>1257</v>
      </c>
      <c r="G226" s="158" t="s">
        <v>1258</v>
      </c>
      <c r="I226" s="149" t="s">
        <v>982</v>
      </c>
    </row>
    <row r="227" spans="1:9" ht="78" customHeight="1">
      <c r="A227" s="207">
        <v>226</v>
      </c>
      <c r="B227" s="152">
        <v>45721</v>
      </c>
      <c r="C227" s="152">
        <v>45721</v>
      </c>
      <c r="D227" s="160" t="s">
        <v>1255</v>
      </c>
      <c r="E227" s="166" t="s">
        <v>1256</v>
      </c>
      <c r="F227" s="162" t="s">
        <v>1257</v>
      </c>
      <c r="G227" s="158" t="s">
        <v>1258</v>
      </c>
      <c r="I227" s="149" t="s">
        <v>942</v>
      </c>
    </row>
    <row r="228" spans="1:9" ht="78" customHeight="1">
      <c r="A228" s="157">
        <v>227</v>
      </c>
      <c r="B228" s="152">
        <v>45721</v>
      </c>
      <c r="C228" s="152">
        <v>45721</v>
      </c>
      <c r="D228" s="160" t="s">
        <v>1255</v>
      </c>
      <c r="E228" s="166" t="s">
        <v>1256</v>
      </c>
      <c r="F228" s="162" t="s">
        <v>1257</v>
      </c>
      <c r="G228" s="158" t="s">
        <v>1258</v>
      </c>
      <c r="I228" s="149" t="s">
        <v>1017</v>
      </c>
    </row>
    <row r="229" spans="1:9" ht="78" customHeight="1">
      <c r="A229" s="157">
        <v>228</v>
      </c>
      <c r="B229" s="152">
        <v>45721</v>
      </c>
      <c r="C229" s="152">
        <v>45721</v>
      </c>
      <c r="D229" s="160" t="s">
        <v>1255</v>
      </c>
      <c r="E229" s="166" t="s">
        <v>1256</v>
      </c>
      <c r="F229" s="162" t="s">
        <v>1257</v>
      </c>
      <c r="G229" s="158" t="s">
        <v>1258</v>
      </c>
      <c r="H229" s="154"/>
      <c r="I229" s="149" t="s">
        <v>977</v>
      </c>
    </row>
    <row r="230" spans="1:9" ht="78" customHeight="1">
      <c r="A230" s="157">
        <v>229</v>
      </c>
      <c r="B230" s="152">
        <v>45721</v>
      </c>
      <c r="C230" s="152">
        <v>45721</v>
      </c>
      <c r="D230" s="160" t="s">
        <v>1255</v>
      </c>
      <c r="E230" s="166" t="s">
        <v>1256</v>
      </c>
      <c r="F230" s="162" t="s">
        <v>1257</v>
      </c>
      <c r="G230" s="158" t="s">
        <v>1258</v>
      </c>
      <c r="H230" s="154"/>
      <c r="I230" s="149" t="s">
        <v>1007</v>
      </c>
    </row>
    <row r="231" spans="1:9" ht="78" customHeight="1">
      <c r="A231" s="157">
        <v>230</v>
      </c>
      <c r="B231" s="152">
        <v>45721</v>
      </c>
      <c r="C231" s="152">
        <v>45721</v>
      </c>
      <c r="D231" s="160" t="s">
        <v>1255</v>
      </c>
      <c r="E231" s="166" t="s">
        <v>1256</v>
      </c>
      <c r="F231" s="162" t="s">
        <v>1257</v>
      </c>
      <c r="G231" s="158" t="s">
        <v>1258</v>
      </c>
      <c r="I231" s="149" t="s">
        <v>1012</v>
      </c>
    </row>
    <row r="232" spans="1:9" ht="78" customHeight="1">
      <c r="A232" s="157">
        <v>231</v>
      </c>
      <c r="B232" s="152">
        <v>45721</v>
      </c>
      <c r="C232" s="152">
        <v>45721</v>
      </c>
      <c r="D232" s="210" t="s">
        <v>1321</v>
      </c>
      <c r="E232" s="149" t="s">
        <v>1722</v>
      </c>
      <c r="F232" s="154" t="s">
        <v>1723</v>
      </c>
      <c r="G232" s="158" t="s">
        <v>1258</v>
      </c>
      <c r="I232" s="149" t="s">
        <v>982</v>
      </c>
    </row>
    <row r="233" spans="1:9" ht="78" customHeight="1">
      <c r="A233" s="157">
        <v>232</v>
      </c>
      <c r="B233" s="152">
        <v>45721</v>
      </c>
      <c r="C233" s="152">
        <v>45721</v>
      </c>
      <c r="D233" s="210" t="s">
        <v>1321</v>
      </c>
      <c r="E233" s="149" t="s">
        <v>1724</v>
      </c>
      <c r="F233" s="154" t="s">
        <v>1725</v>
      </c>
      <c r="G233" s="158" t="s">
        <v>1258</v>
      </c>
      <c r="I233" s="149" t="s">
        <v>1726</v>
      </c>
    </row>
    <row r="234" spans="1:9" ht="78" customHeight="1">
      <c r="A234" s="157">
        <v>233</v>
      </c>
      <c r="B234" s="152">
        <v>45721</v>
      </c>
      <c r="C234" s="152">
        <v>45721</v>
      </c>
      <c r="D234" s="210" t="s">
        <v>1321</v>
      </c>
      <c r="E234" s="181" t="s">
        <v>1727</v>
      </c>
      <c r="F234" s="237" t="s">
        <v>1728</v>
      </c>
      <c r="G234" s="158" t="s">
        <v>1258</v>
      </c>
      <c r="I234" s="149" t="s">
        <v>977</v>
      </c>
    </row>
    <row r="235" spans="1:9" ht="78" customHeight="1">
      <c r="A235" s="157">
        <v>234</v>
      </c>
      <c r="B235" s="152">
        <v>45721</v>
      </c>
      <c r="C235" s="152">
        <v>45722</v>
      </c>
      <c r="D235" s="210" t="s">
        <v>1321</v>
      </c>
      <c r="E235" s="161" t="s">
        <v>1438</v>
      </c>
      <c r="F235" s="237" t="s">
        <v>1729</v>
      </c>
      <c r="G235" s="158" t="s">
        <v>1258</v>
      </c>
      <c r="I235" s="149" t="s">
        <v>952</v>
      </c>
    </row>
    <row r="236" spans="1:9" ht="78" customHeight="1">
      <c r="A236" s="157">
        <v>235</v>
      </c>
      <c r="B236" s="152">
        <v>45721</v>
      </c>
      <c r="C236" s="152">
        <v>45721</v>
      </c>
      <c r="D236" s="210" t="s">
        <v>1321</v>
      </c>
      <c r="E236" s="161" t="s">
        <v>1371</v>
      </c>
      <c r="F236" s="237" t="s">
        <v>1730</v>
      </c>
      <c r="G236" s="158" t="s">
        <v>1258</v>
      </c>
      <c r="I236" s="149" t="s">
        <v>1007</v>
      </c>
    </row>
    <row r="237" spans="1:9" ht="78" customHeight="1">
      <c r="A237" s="157">
        <v>236</v>
      </c>
      <c r="B237" s="152">
        <v>45721</v>
      </c>
      <c r="C237" s="152">
        <v>45722</v>
      </c>
      <c r="D237" s="210" t="s">
        <v>1345</v>
      </c>
      <c r="E237" s="149" t="s">
        <v>1731</v>
      </c>
      <c r="F237" s="237" t="s">
        <v>1732</v>
      </c>
      <c r="G237" s="158" t="s">
        <v>1258</v>
      </c>
      <c r="I237" s="149" t="s">
        <v>937</v>
      </c>
    </row>
    <row r="238" spans="1:9" ht="78" customHeight="1">
      <c r="A238" s="157">
        <v>237</v>
      </c>
      <c r="B238" s="152">
        <v>45721</v>
      </c>
      <c r="C238" s="152">
        <v>45734</v>
      </c>
      <c r="D238" s="210" t="s">
        <v>1345</v>
      </c>
      <c r="E238" s="335" t="s">
        <v>1733</v>
      </c>
      <c r="F238" s="237" t="s">
        <v>1734</v>
      </c>
      <c r="G238" s="158" t="s">
        <v>1258</v>
      </c>
      <c r="H238" s="154" t="s">
        <v>1735</v>
      </c>
      <c r="I238" s="149" t="s">
        <v>982</v>
      </c>
    </row>
    <row r="239" spans="1:9" ht="78" customHeight="1">
      <c r="A239" s="157">
        <v>238</v>
      </c>
      <c r="B239" s="152">
        <v>45721</v>
      </c>
      <c r="C239" s="152">
        <v>45723</v>
      </c>
      <c r="D239" s="210" t="s">
        <v>1281</v>
      </c>
      <c r="E239" s="335" t="s">
        <v>1736</v>
      </c>
      <c r="F239" s="237" t="s">
        <v>1737</v>
      </c>
      <c r="G239" s="158" t="s">
        <v>1258</v>
      </c>
      <c r="H239" s="154" t="s">
        <v>1738</v>
      </c>
      <c r="I239" s="149" t="s">
        <v>967</v>
      </c>
    </row>
    <row r="240" spans="1:9" ht="78" customHeight="1">
      <c r="A240" s="157">
        <v>239</v>
      </c>
      <c r="B240" s="152">
        <v>45722</v>
      </c>
      <c r="C240" s="152">
        <v>45722</v>
      </c>
      <c r="D240" s="160" t="s">
        <v>1255</v>
      </c>
      <c r="E240" s="252" t="s">
        <v>1256</v>
      </c>
      <c r="F240" s="162" t="s">
        <v>1257</v>
      </c>
      <c r="G240" s="158" t="s">
        <v>1258</v>
      </c>
      <c r="I240" s="149" t="s">
        <v>937</v>
      </c>
    </row>
    <row r="241" spans="1:12" ht="78" customHeight="1">
      <c r="A241" s="157">
        <v>240</v>
      </c>
      <c r="B241" s="152">
        <v>45722</v>
      </c>
      <c r="C241" s="152">
        <v>45722</v>
      </c>
      <c r="D241" s="160" t="s">
        <v>1255</v>
      </c>
      <c r="E241" s="252" t="s">
        <v>1256</v>
      </c>
      <c r="F241" s="162" t="s">
        <v>1257</v>
      </c>
      <c r="G241" s="158" t="s">
        <v>1258</v>
      </c>
      <c r="I241" s="149" t="s">
        <v>992</v>
      </c>
    </row>
    <row r="242" spans="1:12" ht="78" customHeight="1">
      <c r="A242" s="157">
        <v>241</v>
      </c>
      <c r="B242" s="152">
        <v>45722</v>
      </c>
      <c r="C242" s="227">
        <v>45726</v>
      </c>
      <c r="D242" s="210" t="s">
        <v>1321</v>
      </c>
      <c r="E242" s="335" t="s">
        <v>1432</v>
      </c>
      <c r="F242" s="237" t="s">
        <v>1739</v>
      </c>
      <c r="G242" s="158" t="s">
        <v>1258</v>
      </c>
      <c r="I242" s="149" t="s">
        <v>992</v>
      </c>
    </row>
    <row r="243" spans="1:12" ht="78" customHeight="1">
      <c r="A243" s="157">
        <v>244</v>
      </c>
      <c r="B243" s="152">
        <v>45722</v>
      </c>
      <c r="C243" s="152">
        <v>45723</v>
      </c>
      <c r="D243" s="210" t="s">
        <v>1321</v>
      </c>
      <c r="E243" s="280" t="s">
        <v>1740</v>
      </c>
      <c r="F243" s="255" t="s">
        <v>1741</v>
      </c>
      <c r="G243" s="158" t="s">
        <v>1258</v>
      </c>
      <c r="H243" s="247"/>
      <c r="I243" s="149" t="s">
        <v>927</v>
      </c>
    </row>
    <row r="244" spans="1:12" ht="78" customHeight="1">
      <c r="A244" s="157">
        <v>245</v>
      </c>
      <c r="B244" s="152">
        <v>45722</v>
      </c>
      <c r="C244" s="152">
        <v>45723</v>
      </c>
      <c r="D244" s="210" t="s">
        <v>1345</v>
      </c>
      <c r="E244" s="280" t="s">
        <v>1742</v>
      </c>
      <c r="F244" s="255" t="s">
        <v>1743</v>
      </c>
      <c r="G244" s="158" t="s">
        <v>1258</v>
      </c>
      <c r="H244" s="236" t="s">
        <v>1744</v>
      </c>
      <c r="I244" s="149" t="s">
        <v>962</v>
      </c>
    </row>
    <row r="245" spans="1:12" ht="78" customHeight="1">
      <c r="A245" s="157">
        <v>246</v>
      </c>
      <c r="B245" s="152">
        <v>45723</v>
      </c>
      <c r="C245" s="227">
        <v>45726</v>
      </c>
      <c r="D245" s="210" t="s">
        <v>1321</v>
      </c>
      <c r="E245" s="280" t="s">
        <v>1438</v>
      </c>
      <c r="F245" s="255" t="s">
        <v>1745</v>
      </c>
      <c r="G245" s="158" t="s">
        <v>1258</v>
      </c>
      <c r="H245" s="247"/>
      <c r="I245" s="149" t="s">
        <v>992</v>
      </c>
    </row>
    <row r="246" spans="1:12" ht="78" customHeight="1">
      <c r="A246" s="157">
        <v>247</v>
      </c>
      <c r="B246" s="152">
        <v>45723</v>
      </c>
      <c r="C246" s="152">
        <v>45723</v>
      </c>
      <c r="D246" s="210" t="s">
        <v>1345</v>
      </c>
      <c r="E246" s="280" t="s">
        <v>1746</v>
      </c>
      <c r="F246" s="255" t="s">
        <v>1747</v>
      </c>
      <c r="G246" s="158" t="s">
        <v>1258</v>
      </c>
      <c r="H246" s="236" t="s">
        <v>1748</v>
      </c>
      <c r="I246" s="149" t="s">
        <v>1007</v>
      </c>
    </row>
    <row r="247" spans="1:12" ht="78" customHeight="1">
      <c r="A247" s="157">
        <v>248</v>
      </c>
      <c r="B247" s="152">
        <v>45723</v>
      </c>
      <c r="C247" s="152">
        <v>45723</v>
      </c>
      <c r="D247" s="160" t="s">
        <v>1255</v>
      </c>
      <c r="E247" s="252" t="s">
        <v>1256</v>
      </c>
      <c r="F247" s="162" t="s">
        <v>1257</v>
      </c>
      <c r="G247" s="158" t="s">
        <v>1258</v>
      </c>
      <c r="H247" s="247"/>
      <c r="I247" s="149" t="s">
        <v>952</v>
      </c>
    </row>
    <row r="248" spans="1:12" ht="78" customHeight="1">
      <c r="A248" s="157">
        <v>249</v>
      </c>
      <c r="B248" s="152">
        <v>45723</v>
      </c>
      <c r="C248" s="152">
        <v>45723</v>
      </c>
      <c r="D248" s="160" t="s">
        <v>1255</v>
      </c>
      <c r="E248" s="252" t="s">
        <v>1256</v>
      </c>
      <c r="F248" s="162" t="s">
        <v>1257</v>
      </c>
      <c r="G248" s="158" t="s">
        <v>1258</v>
      </c>
      <c r="H248" s="247"/>
      <c r="I248" s="149" t="s">
        <v>1002</v>
      </c>
    </row>
    <row r="249" spans="1:12" ht="78" customHeight="1">
      <c r="A249" s="157">
        <v>250</v>
      </c>
      <c r="B249" s="152">
        <v>45723</v>
      </c>
      <c r="C249" s="152">
        <v>45723</v>
      </c>
      <c r="D249" s="160" t="s">
        <v>1255</v>
      </c>
      <c r="E249" s="252" t="s">
        <v>1256</v>
      </c>
      <c r="F249" s="162" t="s">
        <v>1257</v>
      </c>
      <c r="G249" s="158" t="s">
        <v>1258</v>
      </c>
      <c r="H249" s="154"/>
      <c r="I249" s="149" t="s">
        <v>957</v>
      </c>
    </row>
    <row r="250" spans="1:12" ht="78" customHeight="1">
      <c r="A250" s="157">
        <v>251</v>
      </c>
      <c r="B250" s="152">
        <v>45723</v>
      </c>
      <c r="C250" s="227">
        <v>45726</v>
      </c>
      <c r="D250" s="210" t="s">
        <v>1321</v>
      </c>
      <c r="E250" s="335" t="s">
        <v>1749</v>
      </c>
      <c r="F250" s="237" t="s">
        <v>1750</v>
      </c>
      <c r="G250" s="158" t="s">
        <v>1258</v>
      </c>
      <c r="I250" s="149" t="s">
        <v>1333</v>
      </c>
    </row>
    <row r="251" spans="1:12" ht="78" customHeight="1">
      <c r="A251" s="157">
        <v>252</v>
      </c>
      <c r="B251" s="152">
        <v>45723</v>
      </c>
      <c r="C251" s="227">
        <v>45726</v>
      </c>
      <c r="D251" s="210" t="s">
        <v>1321</v>
      </c>
      <c r="E251" s="280" t="s">
        <v>1751</v>
      </c>
      <c r="F251" s="154" t="s">
        <v>1752</v>
      </c>
      <c r="G251" s="158" t="s">
        <v>1258</v>
      </c>
      <c r="I251" s="149" t="s">
        <v>982</v>
      </c>
    </row>
    <row r="252" spans="1:12" ht="78" customHeight="1">
      <c r="A252" s="157">
        <v>253</v>
      </c>
      <c r="B252" s="227">
        <v>45726</v>
      </c>
      <c r="C252" s="227">
        <v>45726</v>
      </c>
      <c r="D252" s="160" t="s">
        <v>1255</v>
      </c>
      <c r="E252" s="252" t="s">
        <v>1256</v>
      </c>
      <c r="F252" s="162" t="s">
        <v>1257</v>
      </c>
      <c r="G252" s="158" t="s">
        <v>1258</v>
      </c>
      <c r="I252" s="149" t="s">
        <v>987</v>
      </c>
    </row>
    <row r="253" spans="1:12" ht="78" customHeight="1">
      <c r="A253" s="157">
        <v>254</v>
      </c>
      <c r="B253" s="227">
        <v>45726</v>
      </c>
      <c r="C253" s="227">
        <v>45726</v>
      </c>
      <c r="D253" s="160" t="s">
        <v>1255</v>
      </c>
      <c r="E253" s="252" t="s">
        <v>1256</v>
      </c>
      <c r="F253" s="162" t="s">
        <v>1257</v>
      </c>
      <c r="G253" s="158" t="s">
        <v>1258</v>
      </c>
      <c r="I253" s="149" t="s">
        <v>997</v>
      </c>
    </row>
    <row r="254" spans="1:12" ht="78" customHeight="1">
      <c r="A254" s="271">
        <v>255</v>
      </c>
      <c r="B254" s="227">
        <v>45726</v>
      </c>
      <c r="C254" s="227">
        <v>45726</v>
      </c>
      <c r="D254" s="210" t="s">
        <v>1321</v>
      </c>
      <c r="E254" s="252" t="s">
        <v>1670</v>
      </c>
      <c r="F254" s="163" t="s">
        <v>1753</v>
      </c>
      <c r="G254" s="158" t="s">
        <v>1258</v>
      </c>
      <c r="H254" s="154"/>
      <c r="I254" s="149" t="s">
        <v>957</v>
      </c>
    </row>
    <row r="255" spans="1:12" ht="78" customHeight="1">
      <c r="A255" s="272">
        <v>256</v>
      </c>
      <c r="B255" s="227">
        <v>45726</v>
      </c>
      <c r="C255" s="228">
        <v>45727</v>
      </c>
      <c r="D255" s="210" t="s">
        <v>1345</v>
      </c>
      <c r="E255" s="252" t="s">
        <v>1754</v>
      </c>
      <c r="F255" s="180" t="s">
        <v>1755</v>
      </c>
      <c r="G255" s="158" t="s">
        <v>1258</v>
      </c>
      <c r="H255" s="218" t="s">
        <v>1756</v>
      </c>
      <c r="I255" s="149" t="s">
        <v>1012</v>
      </c>
    </row>
    <row r="256" spans="1:12" ht="78" customHeight="1">
      <c r="A256" s="157">
        <v>257</v>
      </c>
      <c r="B256" s="228">
        <v>45727</v>
      </c>
      <c r="C256" s="228">
        <v>45727</v>
      </c>
      <c r="D256" s="160" t="s">
        <v>1255</v>
      </c>
      <c r="E256" s="252" t="s">
        <v>1256</v>
      </c>
      <c r="F256" s="162" t="s">
        <v>1257</v>
      </c>
      <c r="G256" s="158" t="s">
        <v>1258</v>
      </c>
      <c r="H256" s="162"/>
      <c r="I256" s="149" t="s">
        <v>947</v>
      </c>
      <c r="L256" s="171"/>
    </row>
    <row r="257" spans="1:9" ht="78" customHeight="1">
      <c r="A257" s="157">
        <v>258</v>
      </c>
      <c r="B257" s="228">
        <v>45727</v>
      </c>
      <c r="C257" s="228">
        <v>45727</v>
      </c>
      <c r="D257" s="160" t="s">
        <v>1255</v>
      </c>
      <c r="E257" s="252" t="s">
        <v>1256</v>
      </c>
      <c r="F257" s="162" t="s">
        <v>1257</v>
      </c>
      <c r="G257" s="158" t="s">
        <v>1258</v>
      </c>
      <c r="I257" s="149" t="s">
        <v>927</v>
      </c>
    </row>
    <row r="258" spans="1:9" ht="78" customHeight="1">
      <c r="A258" s="157">
        <v>259</v>
      </c>
      <c r="B258" s="228">
        <v>45727</v>
      </c>
      <c r="C258" s="228">
        <v>45727</v>
      </c>
      <c r="D258" s="160" t="s">
        <v>1255</v>
      </c>
      <c r="E258" s="252" t="s">
        <v>1256</v>
      </c>
      <c r="F258" s="162" t="s">
        <v>1257</v>
      </c>
      <c r="G258" s="158" t="s">
        <v>1258</v>
      </c>
      <c r="I258" s="149" t="s">
        <v>972</v>
      </c>
    </row>
    <row r="259" spans="1:9" ht="78" customHeight="1">
      <c r="A259" s="157">
        <v>260</v>
      </c>
      <c r="B259" s="228">
        <v>45727</v>
      </c>
      <c r="C259" s="228">
        <v>45727</v>
      </c>
      <c r="D259" s="160" t="s">
        <v>1255</v>
      </c>
      <c r="E259" s="252" t="s">
        <v>1256</v>
      </c>
      <c r="F259" s="162" t="s">
        <v>1257</v>
      </c>
      <c r="G259" s="158" t="s">
        <v>1258</v>
      </c>
      <c r="I259" s="149" t="s">
        <v>932</v>
      </c>
    </row>
    <row r="260" spans="1:9" ht="78" customHeight="1">
      <c r="A260" s="157">
        <v>261</v>
      </c>
      <c r="B260" s="152">
        <v>45728</v>
      </c>
      <c r="C260" s="152">
        <v>45734</v>
      </c>
      <c r="D260" s="256" t="s">
        <v>1757</v>
      </c>
      <c r="E260" s="280" t="s">
        <v>1758</v>
      </c>
      <c r="F260" s="154" t="s">
        <v>1759</v>
      </c>
      <c r="G260" s="158" t="s">
        <v>1258</v>
      </c>
      <c r="H260" s="154" t="s">
        <v>1760</v>
      </c>
      <c r="I260" s="149" t="s">
        <v>1333</v>
      </c>
    </row>
    <row r="261" spans="1:9" ht="78" customHeight="1">
      <c r="A261" s="157">
        <v>262</v>
      </c>
      <c r="B261" s="152">
        <v>45729</v>
      </c>
      <c r="C261" s="152">
        <v>45729</v>
      </c>
      <c r="D261" s="160" t="s">
        <v>1255</v>
      </c>
      <c r="E261" s="252" t="s">
        <v>1256</v>
      </c>
      <c r="F261" s="162" t="s">
        <v>1257</v>
      </c>
      <c r="G261" s="158" t="s">
        <v>1258</v>
      </c>
      <c r="I261" s="149" t="s">
        <v>967</v>
      </c>
    </row>
    <row r="262" spans="1:9" ht="78" customHeight="1">
      <c r="A262" s="157">
        <v>263</v>
      </c>
      <c r="B262" s="152">
        <v>45729</v>
      </c>
      <c r="C262" s="152">
        <v>45729</v>
      </c>
      <c r="D262" s="160" t="s">
        <v>1255</v>
      </c>
      <c r="E262" s="252" t="s">
        <v>1256</v>
      </c>
      <c r="F262" s="162" t="s">
        <v>1257</v>
      </c>
      <c r="G262" s="158" t="s">
        <v>1258</v>
      </c>
      <c r="H262" s="154" t="s">
        <v>1761</v>
      </c>
      <c r="I262" s="149" t="s">
        <v>962</v>
      </c>
    </row>
    <row r="263" spans="1:9" ht="78" customHeight="1">
      <c r="A263" s="157">
        <v>264</v>
      </c>
      <c r="B263" s="152">
        <v>45729</v>
      </c>
      <c r="C263" s="152">
        <v>45729</v>
      </c>
      <c r="D263" s="210" t="s">
        <v>1345</v>
      </c>
      <c r="E263" s="279" t="s">
        <v>1762</v>
      </c>
      <c r="F263" s="218" t="s">
        <v>1763</v>
      </c>
      <c r="G263" s="158" t="s">
        <v>1258</v>
      </c>
      <c r="H263" s="156" t="s">
        <v>1764</v>
      </c>
      <c r="I263" s="155" t="s">
        <v>997</v>
      </c>
    </row>
    <row r="264" spans="1:9" ht="78" customHeight="1">
      <c r="A264" s="157">
        <v>265</v>
      </c>
      <c r="B264" s="152">
        <v>45729</v>
      </c>
      <c r="C264" s="152">
        <v>45734</v>
      </c>
      <c r="D264" s="210" t="s">
        <v>1345</v>
      </c>
      <c r="E264" s="252" t="s">
        <v>1408</v>
      </c>
      <c r="F264" s="163" t="s">
        <v>1765</v>
      </c>
      <c r="G264" s="158" t="s">
        <v>1258</v>
      </c>
      <c r="H264" s="262" t="s">
        <v>1766</v>
      </c>
      <c r="I264" s="155" t="s">
        <v>942</v>
      </c>
    </row>
    <row r="265" spans="1:9" ht="78" customHeight="1">
      <c r="A265" s="157">
        <v>266</v>
      </c>
      <c r="B265" s="254">
        <v>45730</v>
      </c>
      <c r="C265" s="254">
        <v>45730</v>
      </c>
      <c r="D265" s="210" t="s">
        <v>1321</v>
      </c>
      <c r="E265" s="252" t="s">
        <v>1767</v>
      </c>
      <c r="F265" s="220" t="s">
        <v>1768</v>
      </c>
      <c r="G265" s="158" t="s">
        <v>1258</v>
      </c>
      <c r="H265" s="257"/>
      <c r="I265" s="159" t="s">
        <v>932</v>
      </c>
    </row>
    <row r="266" spans="1:9" ht="78" customHeight="1">
      <c r="A266" s="157">
        <v>267</v>
      </c>
      <c r="B266" s="254">
        <v>45730</v>
      </c>
      <c r="C266" s="254">
        <v>45730</v>
      </c>
      <c r="D266" s="210" t="s">
        <v>1321</v>
      </c>
      <c r="E266" s="252" t="s">
        <v>1769</v>
      </c>
      <c r="F266" s="237" t="s">
        <v>1770</v>
      </c>
      <c r="G266" s="158" t="s">
        <v>1258</v>
      </c>
      <c r="H266" s="273"/>
      <c r="I266" s="167" t="s">
        <v>1007</v>
      </c>
    </row>
    <row r="267" spans="1:9" ht="78" customHeight="1">
      <c r="A267" s="157">
        <v>268</v>
      </c>
      <c r="B267" s="254">
        <v>45733</v>
      </c>
      <c r="C267" s="152">
        <v>45735</v>
      </c>
      <c r="D267" s="210" t="s">
        <v>1321</v>
      </c>
      <c r="E267" s="252" t="s">
        <v>1438</v>
      </c>
      <c r="F267" s="180" t="s">
        <v>1771</v>
      </c>
      <c r="G267" s="158" t="s">
        <v>1258</v>
      </c>
      <c r="H267" s="175"/>
      <c r="I267" s="159" t="s">
        <v>937</v>
      </c>
    </row>
    <row r="268" spans="1:9" ht="78" customHeight="1">
      <c r="A268" s="157">
        <v>269</v>
      </c>
      <c r="B268" s="254">
        <v>45733</v>
      </c>
      <c r="C268" s="254">
        <v>45743</v>
      </c>
      <c r="D268" s="210" t="s">
        <v>1321</v>
      </c>
      <c r="E268" s="336" t="s">
        <v>1772</v>
      </c>
      <c r="F268" s="180" t="s">
        <v>1773</v>
      </c>
      <c r="G268" s="158" t="s">
        <v>1258</v>
      </c>
      <c r="H268" s="154" t="s">
        <v>1774</v>
      </c>
      <c r="I268" s="149" t="s">
        <v>932</v>
      </c>
    </row>
    <row r="269" spans="1:9" ht="78" customHeight="1">
      <c r="A269" s="157">
        <v>270</v>
      </c>
      <c r="B269" s="254">
        <v>45733</v>
      </c>
      <c r="C269" s="152">
        <v>45735</v>
      </c>
      <c r="D269" s="210" t="s">
        <v>1321</v>
      </c>
      <c r="E269" s="252" t="s">
        <v>1775</v>
      </c>
      <c r="F269" s="237" t="s">
        <v>1776</v>
      </c>
      <c r="G269" s="158" t="s">
        <v>1258</v>
      </c>
      <c r="I269" s="149" t="s">
        <v>982</v>
      </c>
    </row>
    <row r="270" spans="1:9" ht="78" customHeight="1">
      <c r="A270" s="157">
        <v>271</v>
      </c>
      <c r="B270" s="152">
        <v>45731</v>
      </c>
      <c r="C270" s="152">
        <v>45734</v>
      </c>
      <c r="D270" s="210" t="s">
        <v>1345</v>
      </c>
      <c r="E270" s="252" t="s">
        <v>1408</v>
      </c>
      <c r="F270" s="237" t="s">
        <v>1777</v>
      </c>
      <c r="G270" s="158" t="s">
        <v>1258</v>
      </c>
      <c r="H270" s="156" t="s">
        <v>1778</v>
      </c>
      <c r="I270" s="149" t="s">
        <v>927</v>
      </c>
    </row>
    <row r="271" spans="1:9" ht="78" customHeight="1">
      <c r="A271" s="157">
        <v>272</v>
      </c>
      <c r="B271" s="152">
        <v>45734</v>
      </c>
      <c r="C271" s="152">
        <v>45735</v>
      </c>
      <c r="D271" s="210" t="s">
        <v>1281</v>
      </c>
      <c r="E271" s="280" t="s">
        <v>1779</v>
      </c>
      <c r="F271" s="154" t="s">
        <v>1780</v>
      </c>
      <c r="G271" s="158" t="s">
        <v>1258</v>
      </c>
      <c r="H271" s="154" t="s">
        <v>1781</v>
      </c>
      <c r="I271" s="149" t="s">
        <v>1782</v>
      </c>
    </row>
    <row r="272" spans="1:9" ht="78" customHeight="1">
      <c r="A272" s="157">
        <v>273</v>
      </c>
      <c r="B272" s="152">
        <v>45734</v>
      </c>
      <c r="C272" s="152">
        <v>45735</v>
      </c>
      <c r="D272" s="210" t="s">
        <v>1281</v>
      </c>
      <c r="E272" s="337" t="s">
        <v>1783</v>
      </c>
      <c r="F272" s="163" t="s">
        <v>1784</v>
      </c>
      <c r="G272" s="158" t="s">
        <v>1258</v>
      </c>
      <c r="H272" s="218" t="s">
        <v>1785</v>
      </c>
      <c r="I272" s="149" t="s">
        <v>927</v>
      </c>
    </row>
    <row r="273" spans="1:9" ht="78" customHeight="1">
      <c r="A273" s="157">
        <v>274</v>
      </c>
      <c r="B273" s="254">
        <v>45740</v>
      </c>
      <c r="C273" s="254">
        <v>45740</v>
      </c>
      <c r="D273" s="210" t="s">
        <v>1345</v>
      </c>
      <c r="E273" s="338" t="s">
        <v>1786</v>
      </c>
      <c r="F273" s="257" t="s">
        <v>1787</v>
      </c>
      <c r="G273" s="158" t="s">
        <v>1258</v>
      </c>
      <c r="H273" s="180" t="s">
        <v>1788</v>
      </c>
      <c r="I273" s="149" t="s">
        <v>927</v>
      </c>
    </row>
    <row r="274" spans="1:9" ht="78" customHeight="1">
      <c r="A274" s="157">
        <v>275</v>
      </c>
      <c r="B274" s="254">
        <v>45740</v>
      </c>
      <c r="C274" s="254">
        <v>45742</v>
      </c>
      <c r="D274" s="210" t="s">
        <v>1321</v>
      </c>
      <c r="E274" s="252" t="s">
        <v>1789</v>
      </c>
      <c r="F274" s="218" t="s">
        <v>1790</v>
      </c>
      <c r="G274" s="158" t="s">
        <v>1258</v>
      </c>
      <c r="H274" s="154"/>
      <c r="I274" s="149" t="s">
        <v>1401</v>
      </c>
    </row>
    <row r="275" spans="1:9" ht="78" customHeight="1">
      <c r="A275" s="157">
        <v>276</v>
      </c>
      <c r="B275" s="254">
        <v>45740</v>
      </c>
      <c r="C275" s="254">
        <v>45747</v>
      </c>
      <c r="D275" s="210" t="s">
        <v>1791</v>
      </c>
      <c r="E275" s="252" t="s">
        <v>1792</v>
      </c>
      <c r="F275" s="180" t="s">
        <v>1793</v>
      </c>
      <c r="G275" s="158" t="s">
        <v>1258</v>
      </c>
      <c r="H275" s="165"/>
      <c r="I275" s="149" t="s">
        <v>1333</v>
      </c>
    </row>
    <row r="276" spans="1:9" ht="78" customHeight="1">
      <c r="A276" s="157">
        <v>277</v>
      </c>
      <c r="B276" s="254">
        <v>45741</v>
      </c>
      <c r="C276" s="254">
        <v>45743</v>
      </c>
      <c r="D276" s="210" t="s">
        <v>1321</v>
      </c>
      <c r="E276" s="339" t="s">
        <v>1794</v>
      </c>
      <c r="F276" s="154" t="s">
        <v>1795</v>
      </c>
      <c r="G276" s="158" t="s">
        <v>1258</v>
      </c>
      <c r="I276" s="149" t="s">
        <v>982</v>
      </c>
    </row>
    <row r="277" spans="1:9" ht="78" customHeight="1">
      <c r="A277" s="157">
        <v>278</v>
      </c>
      <c r="B277" s="254">
        <v>45741</v>
      </c>
      <c r="C277" s="254">
        <v>45743</v>
      </c>
      <c r="D277" s="210" t="s">
        <v>1321</v>
      </c>
      <c r="E277" s="339" t="s">
        <v>1796</v>
      </c>
      <c r="F277" s="154" t="s">
        <v>1797</v>
      </c>
      <c r="G277" s="158" t="s">
        <v>1258</v>
      </c>
      <c r="H277" s="154"/>
      <c r="I277" s="149" t="s">
        <v>1007</v>
      </c>
    </row>
    <row r="278" spans="1:9" ht="78" customHeight="1">
      <c r="A278" s="157">
        <v>279</v>
      </c>
      <c r="B278" s="254">
        <v>45740</v>
      </c>
      <c r="C278" s="254">
        <v>45741</v>
      </c>
      <c r="D278" s="210" t="s">
        <v>1281</v>
      </c>
      <c r="E278" s="280" t="s">
        <v>1798</v>
      </c>
      <c r="F278" s="154" t="s">
        <v>1799</v>
      </c>
      <c r="G278" s="158" t="s">
        <v>1258</v>
      </c>
      <c r="H278" s="154" t="s">
        <v>1800</v>
      </c>
      <c r="I278" s="149" t="s">
        <v>1007</v>
      </c>
    </row>
    <row r="279" spans="1:9" ht="78" customHeight="1">
      <c r="A279" s="157">
        <v>280</v>
      </c>
      <c r="B279" s="254">
        <v>45742</v>
      </c>
      <c r="C279" s="254">
        <v>45748</v>
      </c>
      <c r="D279" s="210" t="s">
        <v>1281</v>
      </c>
      <c r="E279" s="280" t="s">
        <v>1801</v>
      </c>
      <c r="F279" s="154" t="s">
        <v>1802</v>
      </c>
      <c r="G279" s="158" t="s">
        <v>1258</v>
      </c>
      <c r="H279" s="154" t="s">
        <v>1803</v>
      </c>
      <c r="I279" s="149" t="s">
        <v>1002</v>
      </c>
    </row>
    <row r="280" spans="1:9" ht="78" customHeight="1">
      <c r="A280" s="157">
        <v>281</v>
      </c>
      <c r="B280" s="254">
        <v>45742</v>
      </c>
      <c r="C280" s="254">
        <v>45742</v>
      </c>
      <c r="D280" s="210" t="s">
        <v>1281</v>
      </c>
      <c r="E280" s="280" t="s">
        <v>1804</v>
      </c>
      <c r="F280" s="154" t="s">
        <v>1805</v>
      </c>
      <c r="G280" s="158" t="s">
        <v>1258</v>
      </c>
      <c r="H280" s="156" t="s">
        <v>1806</v>
      </c>
      <c r="I280" s="149" t="s">
        <v>1807</v>
      </c>
    </row>
    <row r="281" spans="1:9" ht="78" customHeight="1">
      <c r="A281" s="157">
        <v>282</v>
      </c>
      <c r="B281" s="254">
        <v>45742</v>
      </c>
      <c r="C281" s="254">
        <v>45747</v>
      </c>
      <c r="D281" s="210" t="s">
        <v>1264</v>
      </c>
      <c r="E281" s="280" t="s">
        <v>1808</v>
      </c>
      <c r="F281" s="154" t="s">
        <v>1809</v>
      </c>
      <c r="G281" s="158" t="s">
        <v>1258</v>
      </c>
      <c r="H281" s="154" t="s">
        <v>1810</v>
      </c>
      <c r="I281" s="149" t="s">
        <v>952</v>
      </c>
    </row>
    <row r="282" spans="1:9" ht="78" customHeight="1">
      <c r="A282" s="157">
        <v>283</v>
      </c>
      <c r="B282" s="254">
        <v>45743</v>
      </c>
      <c r="C282" s="254">
        <v>45743</v>
      </c>
      <c r="D282" s="210" t="s">
        <v>1281</v>
      </c>
      <c r="E282" s="280" t="s">
        <v>1811</v>
      </c>
      <c r="F282" s="154" t="s">
        <v>1812</v>
      </c>
      <c r="G282" s="158" t="s">
        <v>1258</v>
      </c>
      <c r="H282" s="154" t="s">
        <v>1813</v>
      </c>
      <c r="I282" s="149" t="s">
        <v>952</v>
      </c>
    </row>
    <row r="283" spans="1:9" ht="78" customHeight="1">
      <c r="A283" s="157">
        <v>284</v>
      </c>
      <c r="B283" s="152">
        <v>45745</v>
      </c>
      <c r="C283" s="152">
        <v>45748</v>
      </c>
      <c r="D283" s="210" t="s">
        <v>1321</v>
      </c>
      <c r="E283" s="280" t="s">
        <v>1397</v>
      </c>
      <c r="F283" s="154" t="s">
        <v>1814</v>
      </c>
      <c r="G283" s="158" t="s">
        <v>1258</v>
      </c>
      <c r="I283" s="149" t="s">
        <v>977</v>
      </c>
    </row>
    <row r="284" spans="1:9" ht="78" customHeight="1">
      <c r="A284" s="157">
        <v>285</v>
      </c>
      <c r="B284" s="152">
        <v>45745</v>
      </c>
      <c r="C284" s="152">
        <v>45748</v>
      </c>
      <c r="D284" s="210" t="s">
        <v>1345</v>
      </c>
      <c r="E284" s="280" t="s">
        <v>1815</v>
      </c>
      <c r="F284" s="154" t="s">
        <v>1816</v>
      </c>
      <c r="G284" s="158" t="s">
        <v>1258</v>
      </c>
      <c r="H284" s="154" t="s">
        <v>1817</v>
      </c>
      <c r="I284" s="149" t="s">
        <v>1333</v>
      </c>
    </row>
    <row r="285" spans="1:9" ht="78" customHeight="1">
      <c r="A285" s="157">
        <v>286</v>
      </c>
      <c r="B285" s="152">
        <v>45748</v>
      </c>
      <c r="C285" s="152">
        <v>45748</v>
      </c>
      <c r="D285" s="210" t="s">
        <v>1321</v>
      </c>
      <c r="E285" s="280" t="s">
        <v>1489</v>
      </c>
      <c r="F285" s="154" t="s">
        <v>1818</v>
      </c>
      <c r="G285" s="158" t="s">
        <v>1258</v>
      </c>
      <c r="I285" s="149" t="s">
        <v>1333</v>
      </c>
    </row>
    <row r="286" spans="1:9" ht="78" customHeight="1">
      <c r="A286" s="157">
        <v>287</v>
      </c>
      <c r="B286" s="152">
        <v>45748</v>
      </c>
      <c r="C286" s="152">
        <v>45750</v>
      </c>
      <c r="D286" s="210" t="s">
        <v>1321</v>
      </c>
      <c r="E286" s="280" t="s">
        <v>1397</v>
      </c>
      <c r="F286" s="154" t="s">
        <v>1819</v>
      </c>
      <c r="G286" s="158" t="s">
        <v>1258</v>
      </c>
      <c r="I286" s="149" t="s">
        <v>972</v>
      </c>
    </row>
    <row r="287" spans="1:9" ht="78" customHeight="1">
      <c r="A287" s="157">
        <v>288</v>
      </c>
      <c r="B287" s="152">
        <v>45748</v>
      </c>
      <c r="C287" s="152">
        <v>45750</v>
      </c>
      <c r="D287" s="210" t="s">
        <v>1321</v>
      </c>
      <c r="E287" s="280" t="s">
        <v>1489</v>
      </c>
      <c r="F287" s="154" t="s">
        <v>1820</v>
      </c>
      <c r="G287" s="158" t="s">
        <v>1258</v>
      </c>
      <c r="I287" s="149" t="s">
        <v>1333</v>
      </c>
    </row>
    <row r="288" spans="1:9" ht="78" customHeight="1">
      <c r="A288" s="157">
        <v>289</v>
      </c>
      <c r="B288" s="152">
        <v>45749</v>
      </c>
      <c r="C288" s="152">
        <v>45750</v>
      </c>
      <c r="D288" s="210" t="s">
        <v>1321</v>
      </c>
      <c r="E288" s="280" t="s">
        <v>1405</v>
      </c>
      <c r="F288" s="154" t="s">
        <v>1821</v>
      </c>
      <c r="G288" s="158" t="s">
        <v>1258</v>
      </c>
      <c r="H288" s="154"/>
      <c r="I288" s="149" t="s">
        <v>932</v>
      </c>
    </row>
    <row r="289" spans="1:13" ht="78" customHeight="1">
      <c r="A289" s="157">
        <v>290</v>
      </c>
      <c r="B289" s="152">
        <v>45749</v>
      </c>
      <c r="C289" s="152">
        <v>45750</v>
      </c>
      <c r="D289" s="210" t="s">
        <v>1321</v>
      </c>
      <c r="E289" s="280" t="s">
        <v>1822</v>
      </c>
      <c r="F289" s="154" t="s">
        <v>1823</v>
      </c>
      <c r="G289" s="158" t="s">
        <v>1258</v>
      </c>
      <c r="H289" s="165"/>
      <c r="I289" s="149" t="s">
        <v>927</v>
      </c>
    </row>
    <row r="290" spans="1:13" ht="78" customHeight="1">
      <c r="A290" s="157">
        <v>291</v>
      </c>
      <c r="B290" s="152">
        <v>45749</v>
      </c>
      <c r="C290" s="152">
        <v>45750</v>
      </c>
      <c r="D290" s="210" t="s">
        <v>1345</v>
      </c>
      <c r="E290" s="280" t="s">
        <v>1408</v>
      </c>
      <c r="F290" s="154" t="s">
        <v>1824</v>
      </c>
      <c r="G290" s="158" t="s">
        <v>1258</v>
      </c>
      <c r="H290" s="154" t="s">
        <v>1825</v>
      </c>
      <c r="I290" s="149" t="s">
        <v>942</v>
      </c>
    </row>
    <row r="291" spans="1:13" ht="78" customHeight="1">
      <c r="A291" s="157">
        <v>292</v>
      </c>
      <c r="B291" s="152">
        <v>45749</v>
      </c>
      <c r="C291" s="152">
        <v>45750</v>
      </c>
      <c r="D291" s="210" t="s">
        <v>1345</v>
      </c>
      <c r="E291" s="280" t="s">
        <v>1408</v>
      </c>
      <c r="F291" s="154" t="s">
        <v>1826</v>
      </c>
      <c r="G291" s="158" t="s">
        <v>1258</v>
      </c>
      <c r="H291" s="247" t="s">
        <v>1827</v>
      </c>
      <c r="I291" s="149" t="s">
        <v>942</v>
      </c>
    </row>
    <row r="292" spans="1:13" ht="78" customHeight="1">
      <c r="A292" s="157">
        <v>293</v>
      </c>
      <c r="B292" s="152">
        <v>45749</v>
      </c>
      <c r="C292" s="152">
        <v>45749</v>
      </c>
      <c r="D292" s="210" t="s">
        <v>1281</v>
      </c>
      <c r="E292" s="280" t="s">
        <v>1828</v>
      </c>
      <c r="F292" s="255" t="s">
        <v>1829</v>
      </c>
      <c r="G292" s="158" t="s">
        <v>1258</v>
      </c>
      <c r="H292" s="165" t="s">
        <v>1830</v>
      </c>
      <c r="I292" s="149" t="s">
        <v>1002</v>
      </c>
    </row>
    <row r="293" spans="1:13" ht="78" customHeight="1">
      <c r="A293" s="157">
        <v>294</v>
      </c>
      <c r="B293" s="152">
        <v>45749</v>
      </c>
      <c r="C293" s="152">
        <v>45749</v>
      </c>
      <c r="D293" s="210" t="s">
        <v>1281</v>
      </c>
      <c r="E293" s="337" t="s">
        <v>1461</v>
      </c>
      <c r="F293" s="243" t="s">
        <v>1831</v>
      </c>
      <c r="G293" s="158" t="s">
        <v>1258</v>
      </c>
      <c r="H293" s="237" t="s">
        <v>1832</v>
      </c>
      <c r="I293" s="149" t="s">
        <v>997</v>
      </c>
      <c r="L293" s="164"/>
      <c r="M293" s="161"/>
    </row>
    <row r="294" spans="1:13" ht="78" customHeight="1">
      <c r="A294" s="157">
        <v>295</v>
      </c>
      <c r="B294" s="152">
        <v>45750</v>
      </c>
      <c r="C294" s="152">
        <v>45750</v>
      </c>
      <c r="D294" s="210" t="s">
        <v>1281</v>
      </c>
      <c r="E294" s="337" t="s">
        <v>1833</v>
      </c>
      <c r="F294" s="236" t="s">
        <v>1834</v>
      </c>
      <c r="G294" s="158" t="s">
        <v>1258</v>
      </c>
      <c r="H294" s="237" t="s">
        <v>1835</v>
      </c>
      <c r="I294" s="149" t="s">
        <v>1002</v>
      </c>
    </row>
    <row r="295" spans="1:13" ht="78" customHeight="1">
      <c r="A295" s="157">
        <v>296</v>
      </c>
      <c r="B295" s="152">
        <v>45750</v>
      </c>
      <c r="C295" s="152">
        <v>45751</v>
      </c>
      <c r="D295" s="210" t="s">
        <v>1321</v>
      </c>
      <c r="E295" s="280" t="s">
        <v>1836</v>
      </c>
      <c r="F295" s="154" t="s">
        <v>1837</v>
      </c>
      <c r="G295" s="158" t="s">
        <v>1258</v>
      </c>
      <c r="H295" s="162"/>
      <c r="I295" s="149" t="s">
        <v>1726</v>
      </c>
    </row>
    <row r="296" spans="1:13" ht="78" customHeight="1">
      <c r="A296" s="157">
        <v>297</v>
      </c>
      <c r="B296" s="152">
        <v>45750</v>
      </c>
      <c r="C296" s="152">
        <v>45751</v>
      </c>
      <c r="D296" s="210" t="s">
        <v>1321</v>
      </c>
      <c r="E296" s="280" t="s">
        <v>1838</v>
      </c>
      <c r="F296" s="154" t="s">
        <v>1839</v>
      </c>
      <c r="G296" s="158" t="s">
        <v>1258</v>
      </c>
      <c r="I296" s="149" t="s">
        <v>987</v>
      </c>
    </row>
    <row r="297" spans="1:13" ht="78" customHeight="1">
      <c r="A297" s="157">
        <v>298</v>
      </c>
      <c r="B297" s="152">
        <v>45751</v>
      </c>
      <c r="C297" s="152">
        <v>45756</v>
      </c>
      <c r="D297" s="210" t="s">
        <v>1321</v>
      </c>
      <c r="E297" s="280" t="s">
        <v>1334</v>
      </c>
      <c r="F297" s="154" t="s">
        <v>1840</v>
      </c>
      <c r="G297" s="158" t="s">
        <v>1258</v>
      </c>
      <c r="H297" s="154"/>
      <c r="I297" s="149" t="s">
        <v>937</v>
      </c>
    </row>
    <row r="298" spans="1:13" ht="78" customHeight="1">
      <c r="A298" s="157">
        <v>299</v>
      </c>
      <c r="B298" s="152">
        <v>45748</v>
      </c>
      <c r="C298" s="152">
        <v>45748</v>
      </c>
      <c r="D298" s="160" t="s">
        <v>1255</v>
      </c>
      <c r="E298" s="252" t="s">
        <v>1256</v>
      </c>
      <c r="F298" s="162" t="s">
        <v>1257</v>
      </c>
      <c r="G298" s="158" t="s">
        <v>1258</v>
      </c>
      <c r="I298" s="149" t="s">
        <v>982</v>
      </c>
    </row>
    <row r="299" spans="1:13" ht="78" customHeight="1">
      <c r="A299" s="157">
        <v>300</v>
      </c>
      <c r="B299" s="152">
        <v>45748</v>
      </c>
      <c r="C299" s="152">
        <v>45748</v>
      </c>
      <c r="D299" s="160" t="s">
        <v>1255</v>
      </c>
      <c r="E299" s="252" t="s">
        <v>1256</v>
      </c>
      <c r="F299" s="162" t="s">
        <v>1257</v>
      </c>
      <c r="G299" s="158" t="s">
        <v>1258</v>
      </c>
      <c r="I299" s="149" t="s">
        <v>1007</v>
      </c>
    </row>
    <row r="300" spans="1:13" ht="78" customHeight="1">
      <c r="A300" s="157">
        <v>301</v>
      </c>
      <c r="B300" s="152">
        <v>45749</v>
      </c>
      <c r="C300" s="152">
        <v>45749</v>
      </c>
      <c r="D300" s="160" t="s">
        <v>1255</v>
      </c>
      <c r="E300" s="252" t="s">
        <v>1256</v>
      </c>
      <c r="F300" s="162" t="s">
        <v>1257</v>
      </c>
      <c r="G300" s="158" t="s">
        <v>1258</v>
      </c>
      <c r="I300" s="149" t="s">
        <v>1017</v>
      </c>
    </row>
    <row r="301" spans="1:13" ht="78" customHeight="1">
      <c r="A301" s="157">
        <v>302</v>
      </c>
      <c r="B301" s="152">
        <v>45749</v>
      </c>
      <c r="C301" s="152">
        <v>45749</v>
      </c>
      <c r="D301" s="160" t="s">
        <v>1255</v>
      </c>
      <c r="E301" s="252" t="s">
        <v>1256</v>
      </c>
      <c r="F301" s="162" t="s">
        <v>1257</v>
      </c>
      <c r="G301" s="158" t="s">
        <v>1258</v>
      </c>
      <c r="H301" s="154"/>
      <c r="I301" s="149" t="s">
        <v>977</v>
      </c>
    </row>
    <row r="302" spans="1:13" ht="78" customHeight="1">
      <c r="A302" s="157">
        <v>303</v>
      </c>
      <c r="B302" s="152">
        <v>45750</v>
      </c>
      <c r="C302" s="152">
        <v>45750</v>
      </c>
      <c r="D302" s="160" t="s">
        <v>1255</v>
      </c>
      <c r="E302" s="252" t="s">
        <v>1256</v>
      </c>
      <c r="F302" s="162" t="s">
        <v>1257</v>
      </c>
      <c r="G302" s="158" t="s">
        <v>1258</v>
      </c>
      <c r="H302" s="154"/>
      <c r="I302" s="149" t="s">
        <v>932</v>
      </c>
    </row>
    <row r="303" spans="1:13" ht="78" customHeight="1">
      <c r="A303" s="157">
        <v>304</v>
      </c>
      <c r="B303" s="152">
        <v>45750</v>
      </c>
      <c r="C303" s="152">
        <v>45750</v>
      </c>
      <c r="D303" s="160" t="s">
        <v>1255</v>
      </c>
      <c r="E303" s="252" t="s">
        <v>1256</v>
      </c>
      <c r="F303" s="162" t="s">
        <v>1257</v>
      </c>
      <c r="G303" s="158" t="s">
        <v>1258</v>
      </c>
      <c r="I303" s="149" t="s">
        <v>947</v>
      </c>
    </row>
    <row r="304" spans="1:13" ht="78" customHeight="1">
      <c r="A304" s="157">
        <v>305</v>
      </c>
      <c r="B304" s="152">
        <v>45751</v>
      </c>
      <c r="C304" s="152">
        <v>45751</v>
      </c>
      <c r="D304" s="160" t="s">
        <v>1255</v>
      </c>
      <c r="E304" s="252" t="s">
        <v>1256</v>
      </c>
      <c r="F304" s="162" t="s">
        <v>1257</v>
      </c>
      <c r="G304" s="158" t="s">
        <v>1258</v>
      </c>
      <c r="I304" s="149" t="s">
        <v>1002</v>
      </c>
    </row>
    <row r="305" spans="1:9" ht="78" customHeight="1">
      <c r="A305" s="157">
        <v>306</v>
      </c>
      <c r="B305" s="152">
        <v>45751</v>
      </c>
      <c r="C305" s="152">
        <v>45751</v>
      </c>
      <c r="D305" s="160" t="s">
        <v>1255</v>
      </c>
      <c r="E305" s="252" t="s">
        <v>1256</v>
      </c>
      <c r="F305" s="162" t="s">
        <v>1257</v>
      </c>
      <c r="G305" s="158" t="s">
        <v>1258</v>
      </c>
      <c r="H305" s="154"/>
      <c r="I305" s="149" t="s">
        <v>957</v>
      </c>
    </row>
    <row r="306" spans="1:9" ht="78" customHeight="1">
      <c r="A306" s="157">
        <v>307</v>
      </c>
      <c r="B306" s="152">
        <v>45751</v>
      </c>
      <c r="C306" s="152">
        <v>45751</v>
      </c>
      <c r="D306" s="160" t="s">
        <v>1255</v>
      </c>
      <c r="E306" s="252" t="s">
        <v>1256</v>
      </c>
      <c r="F306" s="162" t="s">
        <v>1257</v>
      </c>
      <c r="G306" s="158" t="s">
        <v>1258</v>
      </c>
      <c r="I306" s="149" t="s">
        <v>952</v>
      </c>
    </row>
    <row r="307" spans="1:9" ht="78" customHeight="1">
      <c r="A307" s="157">
        <v>308</v>
      </c>
      <c r="B307" s="152">
        <v>45754</v>
      </c>
      <c r="C307" s="152">
        <v>45756</v>
      </c>
      <c r="D307" s="210" t="s">
        <v>1321</v>
      </c>
      <c r="E307" s="280" t="s">
        <v>1338</v>
      </c>
      <c r="F307" s="154" t="s">
        <v>1841</v>
      </c>
      <c r="G307" s="158" t="s">
        <v>1258</v>
      </c>
      <c r="I307" s="149" t="s">
        <v>927</v>
      </c>
    </row>
    <row r="308" spans="1:9" ht="78" customHeight="1">
      <c r="A308" s="157">
        <v>309</v>
      </c>
      <c r="B308" s="152">
        <v>45754</v>
      </c>
      <c r="C308" s="152">
        <v>45754</v>
      </c>
      <c r="D308" s="160" t="s">
        <v>1255</v>
      </c>
      <c r="E308" s="252" t="s">
        <v>1256</v>
      </c>
      <c r="F308" s="162" t="s">
        <v>1257</v>
      </c>
      <c r="G308" s="158" t="s">
        <v>1258</v>
      </c>
      <c r="H308" s="154"/>
      <c r="I308" s="149" t="s">
        <v>927</v>
      </c>
    </row>
    <row r="309" spans="1:9" ht="78" customHeight="1">
      <c r="A309" s="157">
        <v>310</v>
      </c>
      <c r="B309" s="152">
        <v>45755</v>
      </c>
      <c r="C309" s="152">
        <v>45756</v>
      </c>
      <c r="D309" s="210" t="s">
        <v>1321</v>
      </c>
      <c r="E309" s="252" t="s">
        <v>1397</v>
      </c>
      <c r="F309" s="237" t="s">
        <v>1842</v>
      </c>
      <c r="G309" s="158" t="s">
        <v>1258</v>
      </c>
      <c r="I309" s="149" t="s">
        <v>972</v>
      </c>
    </row>
    <row r="310" spans="1:9" ht="78" customHeight="1">
      <c r="A310" s="157">
        <v>311</v>
      </c>
      <c r="B310" s="152">
        <v>45755</v>
      </c>
      <c r="C310" s="152">
        <v>45756</v>
      </c>
      <c r="D310" s="210" t="s">
        <v>1321</v>
      </c>
      <c r="E310" s="252" t="s">
        <v>1843</v>
      </c>
      <c r="F310" s="237" t="s">
        <v>1844</v>
      </c>
      <c r="G310" s="158" t="s">
        <v>1258</v>
      </c>
      <c r="I310" s="149" t="s">
        <v>972</v>
      </c>
    </row>
    <row r="311" spans="1:9" ht="78" customHeight="1">
      <c r="A311" s="157">
        <v>312</v>
      </c>
      <c r="B311" s="152">
        <v>45755</v>
      </c>
      <c r="C311" s="152">
        <v>45756</v>
      </c>
      <c r="D311" s="210" t="s">
        <v>1321</v>
      </c>
      <c r="E311" s="280" t="s">
        <v>1845</v>
      </c>
      <c r="F311" s="154" t="s">
        <v>1846</v>
      </c>
      <c r="G311" s="158" t="s">
        <v>1258</v>
      </c>
      <c r="I311" s="149" t="s">
        <v>972</v>
      </c>
    </row>
    <row r="312" spans="1:9" ht="78" customHeight="1">
      <c r="A312" s="157">
        <v>313</v>
      </c>
      <c r="B312" s="152">
        <v>45755</v>
      </c>
      <c r="C312" s="152">
        <v>45755</v>
      </c>
      <c r="D312" s="210" t="s">
        <v>1345</v>
      </c>
      <c r="E312" s="280" t="s">
        <v>1847</v>
      </c>
      <c r="F312" s="154" t="s">
        <v>1848</v>
      </c>
      <c r="G312" s="158" t="s">
        <v>1258</v>
      </c>
      <c r="H312" s="154" t="s">
        <v>1849</v>
      </c>
      <c r="I312" s="149" t="s">
        <v>1002</v>
      </c>
    </row>
    <row r="313" spans="1:9" ht="78" customHeight="1">
      <c r="A313" s="157">
        <v>314</v>
      </c>
      <c r="B313" s="152">
        <v>45755</v>
      </c>
      <c r="C313" s="152">
        <v>45755</v>
      </c>
      <c r="D313" s="210" t="s">
        <v>1281</v>
      </c>
      <c r="E313" s="280" t="s">
        <v>1850</v>
      </c>
      <c r="F313" s="154" t="s">
        <v>1851</v>
      </c>
      <c r="G313" s="158" t="s">
        <v>1258</v>
      </c>
      <c r="H313" s="154" t="s">
        <v>1852</v>
      </c>
      <c r="I313" s="149" t="s">
        <v>982</v>
      </c>
    </row>
    <row r="314" spans="1:9" ht="78" customHeight="1">
      <c r="A314" s="157">
        <v>315</v>
      </c>
      <c r="B314" s="152">
        <v>45755</v>
      </c>
      <c r="C314" s="152">
        <v>45756</v>
      </c>
      <c r="D314" s="210" t="s">
        <v>1281</v>
      </c>
      <c r="E314" s="280" t="s">
        <v>1853</v>
      </c>
      <c r="F314" s="154" t="s">
        <v>1854</v>
      </c>
      <c r="G314" s="158" t="s">
        <v>1258</v>
      </c>
      <c r="H314" s="154" t="s">
        <v>1855</v>
      </c>
      <c r="I314" s="149" t="s">
        <v>967</v>
      </c>
    </row>
    <row r="315" spans="1:9" ht="78" customHeight="1">
      <c r="A315" s="157">
        <v>316</v>
      </c>
      <c r="B315" s="152">
        <v>45756</v>
      </c>
      <c r="C315" s="152">
        <v>45756</v>
      </c>
      <c r="D315" s="210" t="s">
        <v>1321</v>
      </c>
      <c r="E315" s="252" t="s">
        <v>1397</v>
      </c>
      <c r="F315" s="237" t="s">
        <v>1856</v>
      </c>
      <c r="G315" s="158" t="s">
        <v>1258</v>
      </c>
      <c r="I315" s="149" t="s">
        <v>957</v>
      </c>
    </row>
    <row r="316" spans="1:9" ht="78" customHeight="1">
      <c r="A316" s="157">
        <v>317</v>
      </c>
      <c r="B316" s="152">
        <v>45756</v>
      </c>
      <c r="C316" s="152">
        <v>45758</v>
      </c>
      <c r="D316" s="210" t="s">
        <v>1321</v>
      </c>
      <c r="E316" s="280" t="s">
        <v>1857</v>
      </c>
      <c r="F316" s="154" t="s">
        <v>1858</v>
      </c>
      <c r="G316" s="158" t="s">
        <v>1258</v>
      </c>
      <c r="H316" s="154" t="s">
        <v>1859</v>
      </c>
      <c r="I316" s="149" t="s">
        <v>982</v>
      </c>
    </row>
    <row r="317" spans="1:9" ht="78" customHeight="1">
      <c r="A317" s="353">
        <v>318</v>
      </c>
      <c r="B317" s="344">
        <v>45756</v>
      </c>
      <c r="C317" s="344">
        <v>45763</v>
      </c>
      <c r="D317" s="347" t="s">
        <v>1860</v>
      </c>
      <c r="E317" s="352" t="s">
        <v>1861</v>
      </c>
      <c r="F317" s="350" t="s">
        <v>1862</v>
      </c>
      <c r="G317" s="346" t="s">
        <v>1863</v>
      </c>
      <c r="H317" s="345" t="s">
        <v>1864</v>
      </c>
      <c r="I317" s="343" t="s">
        <v>1865</v>
      </c>
    </row>
    <row r="318" spans="1:9" ht="78" customHeight="1">
      <c r="A318" s="353">
        <v>319</v>
      </c>
      <c r="B318" s="344">
        <v>45757</v>
      </c>
      <c r="C318" s="344">
        <v>45757</v>
      </c>
      <c r="D318" s="347" t="s">
        <v>1866</v>
      </c>
      <c r="E318" s="352" t="s">
        <v>1867</v>
      </c>
      <c r="F318" s="350" t="s">
        <v>1868</v>
      </c>
      <c r="G318" s="346" t="s">
        <v>1863</v>
      </c>
      <c r="H318" s="345" t="s">
        <v>1869</v>
      </c>
      <c r="I318" s="343" t="s">
        <v>1870</v>
      </c>
    </row>
    <row r="319" spans="1:9" ht="78" customHeight="1">
      <c r="A319" s="353">
        <v>320</v>
      </c>
      <c r="B319" s="344">
        <v>45757</v>
      </c>
      <c r="C319" s="344">
        <v>45757</v>
      </c>
      <c r="D319" s="347" t="s">
        <v>1860</v>
      </c>
      <c r="E319" s="352" t="s">
        <v>1871</v>
      </c>
      <c r="F319" s="350" t="s">
        <v>1872</v>
      </c>
      <c r="G319" s="346" t="s">
        <v>1863</v>
      </c>
      <c r="H319" s="342"/>
      <c r="I319" s="343" t="s">
        <v>1873</v>
      </c>
    </row>
    <row r="320" spans="1:9" ht="78" customHeight="1">
      <c r="A320" s="353">
        <v>321</v>
      </c>
      <c r="B320" s="344">
        <v>45758</v>
      </c>
      <c r="C320" s="344">
        <v>45763</v>
      </c>
      <c r="D320" s="347" t="s">
        <v>1860</v>
      </c>
      <c r="E320" s="351" t="s">
        <v>1874</v>
      </c>
      <c r="F320" s="345" t="s">
        <v>1875</v>
      </c>
      <c r="G320" s="346" t="s">
        <v>1863</v>
      </c>
      <c r="H320" s="342"/>
      <c r="I320" s="343" t="s">
        <v>1865</v>
      </c>
    </row>
    <row r="321" spans="1:9" ht="78" customHeight="1">
      <c r="A321" s="353">
        <v>322</v>
      </c>
      <c r="B321" s="344">
        <v>45759</v>
      </c>
      <c r="C321" s="344">
        <v>45759</v>
      </c>
      <c r="D321" s="347" t="s">
        <v>1866</v>
      </c>
      <c r="E321" s="351" t="s">
        <v>1876</v>
      </c>
      <c r="F321" s="345" t="s">
        <v>1877</v>
      </c>
      <c r="G321" s="346" t="s">
        <v>1863</v>
      </c>
      <c r="H321" s="345" t="s">
        <v>1878</v>
      </c>
      <c r="I321" s="343" t="s">
        <v>1879</v>
      </c>
    </row>
    <row r="322" spans="1:9" ht="78" customHeight="1">
      <c r="A322" s="353">
        <v>323</v>
      </c>
      <c r="B322" s="344">
        <v>45758</v>
      </c>
      <c r="C322" s="344">
        <v>45758</v>
      </c>
      <c r="D322" s="348" t="s">
        <v>1880</v>
      </c>
      <c r="E322" s="352" t="s">
        <v>1881</v>
      </c>
      <c r="F322" s="349" t="s">
        <v>1882</v>
      </c>
      <c r="G322" s="346" t="s">
        <v>1863</v>
      </c>
      <c r="H322" s="342"/>
      <c r="I322" s="343" t="s">
        <v>1883</v>
      </c>
    </row>
    <row r="323" spans="1:9" ht="78" customHeight="1">
      <c r="A323" s="353">
        <v>324</v>
      </c>
      <c r="B323" s="344">
        <v>45758</v>
      </c>
      <c r="C323" s="344">
        <v>45758</v>
      </c>
      <c r="D323" s="348" t="s">
        <v>1880</v>
      </c>
      <c r="E323" s="352" t="s">
        <v>1881</v>
      </c>
      <c r="F323" s="349" t="s">
        <v>1882</v>
      </c>
      <c r="G323" s="346" t="s">
        <v>1863</v>
      </c>
      <c r="H323" s="342"/>
      <c r="I323" s="343" t="s">
        <v>398</v>
      </c>
    </row>
    <row r="324" spans="1:9" ht="78" customHeight="1">
      <c r="A324" s="353">
        <v>325</v>
      </c>
      <c r="B324" s="344">
        <v>45761</v>
      </c>
      <c r="C324" s="344">
        <v>45763</v>
      </c>
      <c r="D324" s="347" t="s">
        <v>1866</v>
      </c>
      <c r="E324" s="352" t="s">
        <v>1884</v>
      </c>
      <c r="F324" s="350" t="s">
        <v>1885</v>
      </c>
      <c r="G324" s="346" t="s">
        <v>1863</v>
      </c>
      <c r="H324" s="345" t="s">
        <v>1886</v>
      </c>
      <c r="I324" s="343" t="s">
        <v>378</v>
      </c>
    </row>
    <row r="325" spans="1:9" ht="78" customHeight="1">
      <c r="A325" s="157">
        <v>326</v>
      </c>
      <c r="B325" s="152">
        <v>45761</v>
      </c>
      <c r="C325" s="152">
        <v>45770</v>
      </c>
      <c r="D325" s="210" t="s">
        <v>1321</v>
      </c>
      <c r="E325" s="280" t="s">
        <v>1887</v>
      </c>
      <c r="F325" s="154" t="s">
        <v>1888</v>
      </c>
      <c r="G325" s="158" t="s">
        <v>1258</v>
      </c>
      <c r="H325" s="154" t="s">
        <v>1889</v>
      </c>
      <c r="I325" s="149" t="s">
        <v>972</v>
      </c>
    </row>
    <row r="326" spans="1:9" ht="78" customHeight="1">
      <c r="A326" s="157">
        <v>327</v>
      </c>
      <c r="B326" s="152">
        <v>45761</v>
      </c>
      <c r="C326" s="152">
        <v>45761</v>
      </c>
      <c r="D326" s="210" t="s">
        <v>1281</v>
      </c>
      <c r="E326" s="280" t="s">
        <v>1890</v>
      </c>
      <c r="F326" s="154" t="s">
        <v>1891</v>
      </c>
      <c r="G326" s="158" t="s">
        <v>1258</v>
      </c>
      <c r="H326" s="156" t="s">
        <v>1892</v>
      </c>
      <c r="I326" s="149" t="s">
        <v>927</v>
      </c>
    </row>
    <row r="327" spans="1:9" ht="78" customHeight="1">
      <c r="A327" s="157">
        <v>328</v>
      </c>
      <c r="B327" s="152">
        <v>45761</v>
      </c>
      <c r="C327" s="152">
        <v>45761</v>
      </c>
      <c r="D327" s="160" t="s">
        <v>1255</v>
      </c>
      <c r="E327" s="252" t="s">
        <v>1256</v>
      </c>
      <c r="F327" s="162" t="s">
        <v>1257</v>
      </c>
      <c r="G327" s="158" t="s">
        <v>1258</v>
      </c>
      <c r="I327" s="149" t="s">
        <v>942</v>
      </c>
    </row>
    <row r="328" spans="1:9" ht="78" customHeight="1">
      <c r="A328" s="157">
        <v>329</v>
      </c>
      <c r="B328" s="152">
        <v>45761</v>
      </c>
      <c r="C328" s="152">
        <v>45761</v>
      </c>
      <c r="D328" s="160" t="s">
        <v>1255</v>
      </c>
      <c r="E328" s="252" t="s">
        <v>1256</v>
      </c>
      <c r="F328" s="162" t="s">
        <v>1257</v>
      </c>
      <c r="G328" s="158" t="s">
        <v>1258</v>
      </c>
      <c r="I328" s="149" t="s">
        <v>1012</v>
      </c>
    </row>
    <row r="329" spans="1:9" ht="78" customHeight="1">
      <c r="A329" s="157">
        <v>330</v>
      </c>
      <c r="B329" s="152">
        <v>45761</v>
      </c>
      <c r="C329" s="152">
        <v>45761</v>
      </c>
      <c r="D329" s="160" t="s">
        <v>1255</v>
      </c>
      <c r="E329" s="252" t="s">
        <v>1256</v>
      </c>
      <c r="F329" s="162" t="s">
        <v>1257</v>
      </c>
      <c r="G329" s="158" t="s">
        <v>1258</v>
      </c>
      <c r="I329" s="149" t="s">
        <v>992</v>
      </c>
    </row>
    <row r="330" spans="1:9" ht="78" customHeight="1">
      <c r="A330" s="157">
        <v>331</v>
      </c>
      <c r="B330" s="152">
        <v>45762</v>
      </c>
      <c r="C330" s="152">
        <v>45763</v>
      </c>
      <c r="D330" s="210" t="s">
        <v>1574</v>
      </c>
      <c r="E330" s="280" t="s">
        <v>1893</v>
      </c>
      <c r="F330" s="154" t="s">
        <v>1894</v>
      </c>
      <c r="G330" s="158" t="s">
        <v>1258</v>
      </c>
      <c r="H330" s="154" t="s">
        <v>1895</v>
      </c>
      <c r="I330" s="149" t="s">
        <v>972</v>
      </c>
    </row>
    <row r="331" spans="1:9" ht="78" customHeight="1">
      <c r="A331" s="157">
        <v>332</v>
      </c>
      <c r="B331" s="152">
        <v>45763</v>
      </c>
      <c r="C331" s="152">
        <v>45770</v>
      </c>
      <c r="D331" s="210" t="s">
        <v>1321</v>
      </c>
      <c r="E331" s="280" t="s">
        <v>1896</v>
      </c>
      <c r="F331" s="154" t="s">
        <v>1897</v>
      </c>
      <c r="G331" s="158" t="s">
        <v>1258</v>
      </c>
      <c r="I331" s="149" t="s">
        <v>1333</v>
      </c>
    </row>
    <row r="332" spans="1:9" ht="78" customHeight="1">
      <c r="A332" s="157">
        <v>333</v>
      </c>
      <c r="B332" s="152">
        <v>45764</v>
      </c>
      <c r="C332" s="152">
        <v>45772</v>
      </c>
      <c r="D332" s="210" t="s">
        <v>1321</v>
      </c>
      <c r="E332" s="280" t="s">
        <v>1898</v>
      </c>
      <c r="F332" s="154" t="s">
        <v>1899</v>
      </c>
      <c r="G332" s="158" t="s">
        <v>1258</v>
      </c>
      <c r="H332" s="154"/>
      <c r="I332" s="149" t="s">
        <v>1401</v>
      </c>
    </row>
    <row r="333" spans="1:9" ht="78" customHeight="1">
      <c r="A333" s="157">
        <v>334</v>
      </c>
      <c r="B333" s="152">
        <v>45764</v>
      </c>
      <c r="C333" s="152">
        <v>45772</v>
      </c>
      <c r="D333" s="210" t="s">
        <v>1321</v>
      </c>
      <c r="E333" s="280" t="s">
        <v>1900</v>
      </c>
      <c r="F333" s="154" t="s">
        <v>1901</v>
      </c>
      <c r="G333" s="158" t="s">
        <v>1258</v>
      </c>
      <c r="I333" s="149" t="s">
        <v>972</v>
      </c>
    </row>
    <row r="334" spans="1:9" ht="78" customHeight="1">
      <c r="A334" s="157">
        <v>335</v>
      </c>
      <c r="B334" s="152">
        <v>45764</v>
      </c>
      <c r="C334" s="152">
        <v>45764</v>
      </c>
      <c r="D334" s="160" t="s">
        <v>1255</v>
      </c>
      <c r="E334" s="252" t="s">
        <v>1256</v>
      </c>
      <c r="F334" s="162" t="s">
        <v>1257</v>
      </c>
      <c r="G334" s="158" t="s">
        <v>1258</v>
      </c>
      <c r="I334" s="149" t="s">
        <v>997</v>
      </c>
    </row>
    <row r="335" spans="1:9" ht="78" customHeight="1">
      <c r="A335" s="157">
        <v>336</v>
      </c>
      <c r="B335" s="152">
        <v>45765</v>
      </c>
      <c r="C335" s="152">
        <v>45765</v>
      </c>
      <c r="D335" s="160" t="s">
        <v>1255</v>
      </c>
      <c r="E335" s="252" t="s">
        <v>1256</v>
      </c>
      <c r="F335" s="162" t="s">
        <v>1257</v>
      </c>
      <c r="G335" s="158" t="s">
        <v>1258</v>
      </c>
      <c r="H335" s="154"/>
      <c r="I335" s="149" t="s">
        <v>962</v>
      </c>
    </row>
    <row r="336" spans="1:9" ht="78" customHeight="1">
      <c r="A336" s="157">
        <v>337</v>
      </c>
      <c r="B336" s="152">
        <v>45765</v>
      </c>
      <c r="C336" s="152">
        <v>45765</v>
      </c>
      <c r="D336" s="160" t="s">
        <v>1255</v>
      </c>
      <c r="E336" s="252" t="s">
        <v>1256</v>
      </c>
      <c r="F336" s="162" t="s">
        <v>1257</v>
      </c>
      <c r="G336" s="158" t="s">
        <v>1258</v>
      </c>
      <c r="I336" s="149" t="s">
        <v>967</v>
      </c>
    </row>
    <row r="337" spans="1:9" ht="78" customHeight="1">
      <c r="A337" s="157">
        <v>338</v>
      </c>
      <c r="B337" s="152">
        <v>45765</v>
      </c>
      <c r="C337" s="152">
        <v>45772</v>
      </c>
      <c r="D337" s="210" t="s">
        <v>1321</v>
      </c>
      <c r="E337" s="280" t="s">
        <v>1902</v>
      </c>
      <c r="F337" s="154" t="s">
        <v>1903</v>
      </c>
      <c r="G337" s="158" t="s">
        <v>1258</v>
      </c>
      <c r="I337" s="149" t="s">
        <v>932</v>
      </c>
    </row>
    <row r="338" spans="1:9" ht="78" customHeight="1">
      <c r="A338" s="157">
        <v>339</v>
      </c>
      <c r="B338" s="152">
        <v>45765</v>
      </c>
      <c r="C338" s="152">
        <v>45770</v>
      </c>
      <c r="D338" s="210" t="s">
        <v>1321</v>
      </c>
      <c r="E338" s="280" t="s">
        <v>1405</v>
      </c>
      <c r="F338" s="154" t="s">
        <v>1904</v>
      </c>
      <c r="G338" s="158" t="s">
        <v>1258</v>
      </c>
      <c r="I338" s="149" t="s">
        <v>1401</v>
      </c>
    </row>
    <row r="339" spans="1:9" ht="78" customHeight="1">
      <c r="A339" s="157">
        <v>340</v>
      </c>
      <c r="B339" s="152">
        <v>45765</v>
      </c>
      <c r="C339" s="152">
        <v>45768</v>
      </c>
      <c r="D339" s="210" t="s">
        <v>1281</v>
      </c>
      <c r="E339" s="280" t="s">
        <v>1905</v>
      </c>
      <c r="F339" s="154" t="s">
        <v>1906</v>
      </c>
      <c r="G339" s="158" t="s">
        <v>1258</v>
      </c>
      <c r="H339" s="154" t="s">
        <v>1907</v>
      </c>
      <c r="I339" s="149" t="s">
        <v>962</v>
      </c>
    </row>
    <row r="340" spans="1:9" ht="78" customHeight="1">
      <c r="A340" s="157">
        <v>341</v>
      </c>
      <c r="B340" s="152">
        <v>45769</v>
      </c>
      <c r="C340" s="152">
        <v>45770</v>
      </c>
      <c r="D340" s="210" t="s">
        <v>1281</v>
      </c>
      <c r="E340" s="280" t="s">
        <v>1908</v>
      </c>
      <c r="F340" s="154" t="s">
        <v>1909</v>
      </c>
      <c r="G340" s="158" t="s">
        <v>1258</v>
      </c>
      <c r="H340" s="154" t="s">
        <v>1910</v>
      </c>
      <c r="I340" s="149" t="s">
        <v>1807</v>
      </c>
    </row>
    <row r="341" spans="1:9" ht="78" customHeight="1">
      <c r="A341" s="157">
        <v>342</v>
      </c>
      <c r="B341" s="152">
        <v>45770</v>
      </c>
      <c r="C341" s="152">
        <v>45796</v>
      </c>
      <c r="D341" s="210" t="s">
        <v>1345</v>
      </c>
      <c r="E341" s="252" t="s">
        <v>1911</v>
      </c>
      <c r="F341" s="237" t="s">
        <v>1912</v>
      </c>
      <c r="G341" s="158" t="s">
        <v>1258</v>
      </c>
      <c r="H341" s="154" t="s">
        <v>1913</v>
      </c>
      <c r="I341" s="149" t="s">
        <v>952</v>
      </c>
    </row>
    <row r="342" spans="1:9" ht="78" customHeight="1">
      <c r="A342" s="157">
        <v>343</v>
      </c>
      <c r="B342" s="152">
        <v>45770</v>
      </c>
      <c r="C342" s="152">
        <v>45771</v>
      </c>
      <c r="D342" s="210" t="s">
        <v>1281</v>
      </c>
      <c r="E342" s="252" t="s">
        <v>1914</v>
      </c>
      <c r="F342" s="179" t="s">
        <v>1915</v>
      </c>
      <c r="G342" s="158" t="s">
        <v>1258</v>
      </c>
      <c r="H342" s="154" t="s">
        <v>1916</v>
      </c>
      <c r="I342" s="149" t="s">
        <v>982</v>
      </c>
    </row>
    <row r="343" spans="1:9" ht="78" customHeight="1">
      <c r="A343" s="157">
        <v>344</v>
      </c>
      <c r="B343" s="152">
        <v>45771</v>
      </c>
      <c r="C343" s="152">
        <v>45772</v>
      </c>
      <c r="D343" s="210" t="s">
        <v>1321</v>
      </c>
      <c r="E343" s="252" t="s">
        <v>1917</v>
      </c>
      <c r="F343" s="237" t="s">
        <v>1918</v>
      </c>
      <c r="G343" s="158" t="s">
        <v>1258</v>
      </c>
      <c r="I343" s="149" t="s">
        <v>1401</v>
      </c>
    </row>
    <row r="344" spans="1:9" ht="78" customHeight="1">
      <c r="A344" s="157">
        <v>345</v>
      </c>
      <c r="B344" s="152">
        <v>45771</v>
      </c>
      <c r="C344" s="152">
        <v>45771</v>
      </c>
      <c r="D344" s="210" t="s">
        <v>1281</v>
      </c>
      <c r="E344" s="252" t="s">
        <v>1919</v>
      </c>
      <c r="F344" s="154" t="s">
        <v>1920</v>
      </c>
      <c r="G344" s="158" t="s">
        <v>1258</v>
      </c>
      <c r="H344" s="154" t="s">
        <v>1921</v>
      </c>
      <c r="I344" s="149" t="s">
        <v>967</v>
      </c>
    </row>
    <row r="345" spans="1:9" ht="78" customHeight="1">
      <c r="A345" s="157">
        <v>346</v>
      </c>
      <c r="B345" s="152">
        <v>45771</v>
      </c>
      <c r="C345" s="152">
        <v>45771</v>
      </c>
      <c r="D345" s="210" t="s">
        <v>1281</v>
      </c>
      <c r="E345" s="252" t="s">
        <v>1922</v>
      </c>
      <c r="F345" s="156" t="s">
        <v>1923</v>
      </c>
      <c r="G345" s="158" t="s">
        <v>1258</v>
      </c>
      <c r="H345" s="154" t="s">
        <v>1924</v>
      </c>
      <c r="I345" s="149" t="s">
        <v>967</v>
      </c>
    </row>
    <row r="346" spans="1:9" ht="78" customHeight="1">
      <c r="A346" s="157">
        <v>347</v>
      </c>
      <c r="B346" s="152">
        <v>45771</v>
      </c>
      <c r="C346" s="152">
        <v>45771</v>
      </c>
      <c r="D346" s="210" t="s">
        <v>1264</v>
      </c>
      <c r="E346" s="280" t="s">
        <v>1833</v>
      </c>
      <c r="F346" s="255" t="s">
        <v>1925</v>
      </c>
      <c r="G346" s="158" t="s">
        <v>1258</v>
      </c>
      <c r="H346" s="236" t="s">
        <v>1926</v>
      </c>
      <c r="I346" s="149" t="s">
        <v>952</v>
      </c>
    </row>
    <row r="347" spans="1:9" ht="78" customHeight="1">
      <c r="A347" s="157">
        <v>348</v>
      </c>
      <c r="B347" s="152">
        <v>45772</v>
      </c>
      <c r="C347" s="152">
        <v>45775</v>
      </c>
      <c r="D347" s="210" t="s">
        <v>1321</v>
      </c>
      <c r="E347" s="280" t="s">
        <v>1927</v>
      </c>
      <c r="F347" s="262" t="s">
        <v>1928</v>
      </c>
      <c r="G347" s="158" t="s">
        <v>1258</v>
      </c>
      <c r="H347" s="259"/>
      <c r="I347" s="149" t="s">
        <v>982</v>
      </c>
    </row>
    <row r="348" spans="1:9" ht="78" customHeight="1">
      <c r="A348" s="157">
        <v>349</v>
      </c>
      <c r="B348" s="152">
        <v>45772</v>
      </c>
      <c r="C348" s="152">
        <v>45775</v>
      </c>
      <c r="D348" s="210" t="s">
        <v>1321</v>
      </c>
      <c r="E348" s="252" t="s">
        <v>1929</v>
      </c>
      <c r="F348" s="237" t="s">
        <v>1930</v>
      </c>
      <c r="G348" s="158" t="s">
        <v>1258</v>
      </c>
      <c r="I348" s="149" t="s">
        <v>1392</v>
      </c>
    </row>
    <row r="349" spans="1:9" ht="78" customHeight="1">
      <c r="A349" s="157">
        <v>350</v>
      </c>
      <c r="B349" s="152">
        <v>45772</v>
      </c>
      <c r="C349" s="152">
        <v>45772</v>
      </c>
      <c r="D349" s="210" t="s">
        <v>1281</v>
      </c>
      <c r="E349" s="252" t="s">
        <v>1931</v>
      </c>
      <c r="F349" s="237" t="s">
        <v>1932</v>
      </c>
      <c r="G349" s="158" t="s">
        <v>1258</v>
      </c>
      <c r="H349" s="154" t="s">
        <v>1933</v>
      </c>
      <c r="I349" s="149" t="s">
        <v>932</v>
      </c>
    </row>
    <row r="350" spans="1:9" ht="78" customHeight="1">
      <c r="A350" s="157">
        <v>351</v>
      </c>
      <c r="B350" s="152">
        <v>45772</v>
      </c>
      <c r="C350" s="152">
        <v>45772</v>
      </c>
      <c r="D350" s="210" t="s">
        <v>1264</v>
      </c>
      <c r="E350" s="252" t="s">
        <v>1542</v>
      </c>
      <c r="F350" s="237" t="s">
        <v>1934</v>
      </c>
      <c r="G350" s="158" t="s">
        <v>1258</v>
      </c>
      <c r="H350" s="154" t="s">
        <v>1935</v>
      </c>
      <c r="I350" s="149" t="s">
        <v>947</v>
      </c>
    </row>
    <row r="351" spans="1:9" ht="153" customHeight="1">
      <c r="A351" s="157">
        <v>352</v>
      </c>
      <c r="B351" s="152">
        <v>45775</v>
      </c>
      <c r="C351" s="152">
        <v>45776</v>
      </c>
      <c r="D351" s="210" t="s">
        <v>1281</v>
      </c>
      <c r="E351" s="280" t="s">
        <v>1483</v>
      </c>
      <c r="F351" s="154" t="s">
        <v>1936</v>
      </c>
      <c r="G351" s="158" t="s">
        <v>1258</v>
      </c>
      <c r="H351" s="154" t="s">
        <v>1937</v>
      </c>
      <c r="I351" s="149" t="s">
        <v>972</v>
      </c>
    </row>
    <row r="352" spans="1:9" ht="78" customHeight="1">
      <c r="A352" s="157">
        <v>353</v>
      </c>
      <c r="B352" s="152">
        <v>45775</v>
      </c>
      <c r="C352" s="152">
        <v>45776</v>
      </c>
      <c r="D352" s="210" t="s">
        <v>1345</v>
      </c>
      <c r="E352" s="280" t="s">
        <v>1938</v>
      </c>
      <c r="F352" s="154" t="s">
        <v>1939</v>
      </c>
      <c r="G352" s="158" t="s">
        <v>1258</v>
      </c>
      <c r="H352" s="154" t="s">
        <v>1940</v>
      </c>
      <c r="I352" s="149" t="s">
        <v>987</v>
      </c>
    </row>
    <row r="353" spans="1:9" ht="78" customHeight="1">
      <c r="A353" s="157">
        <v>354</v>
      </c>
      <c r="B353" s="152">
        <v>45776</v>
      </c>
      <c r="C353" s="152">
        <v>45785</v>
      </c>
      <c r="D353" s="210" t="s">
        <v>1321</v>
      </c>
      <c r="E353" s="280" t="s">
        <v>1405</v>
      </c>
      <c r="F353" s="154" t="s">
        <v>1941</v>
      </c>
      <c r="G353" s="158" t="s">
        <v>1258</v>
      </c>
      <c r="I353" s="149" t="s">
        <v>972</v>
      </c>
    </row>
    <row r="354" spans="1:9" ht="78" customHeight="1">
      <c r="A354" s="157">
        <v>355</v>
      </c>
      <c r="B354" s="152">
        <v>45776</v>
      </c>
      <c r="C354" s="152">
        <v>45776</v>
      </c>
      <c r="D354" s="210" t="s">
        <v>1281</v>
      </c>
      <c r="E354" s="280" t="s">
        <v>1942</v>
      </c>
      <c r="F354" s="154" t="s">
        <v>1943</v>
      </c>
      <c r="G354" s="158" t="s">
        <v>1258</v>
      </c>
      <c r="H354" s="154" t="s">
        <v>1944</v>
      </c>
      <c r="I354" s="149" t="s">
        <v>1002</v>
      </c>
    </row>
    <row r="355" spans="1:9" ht="78" customHeight="1">
      <c r="A355" s="157">
        <v>356</v>
      </c>
      <c r="B355" s="152">
        <v>45777</v>
      </c>
      <c r="C355" s="152">
        <v>45779</v>
      </c>
      <c r="D355" s="210" t="s">
        <v>1281</v>
      </c>
      <c r="E355" s="280" t="s">
        <v>1945</v>
      </c>
      <c r="F355" s="154" t="s">
        <v>1946</v>
      </c>
      <c r="G355" s="158" t="s">
        <v>1258</v>
      </c>
      <c r="H355" s="154" t="s">
        <v>1947</v>
      </c>
      <c r="I355" s="149" t="s">
        <v>947</v>
      </c>
    </row>
    <row r="356" spans="1:9" ht="78" customHeight="1">
      <c r="A356" s="157">
        <v>357</v>
      </c>
      <c r="B356" s="152">
        <v>45779</v>
      </c>
      <c r="C356" s="152">
        <v>45779</v>
      </c>
      <c r="D356" s="210" t="s">
        <v>1321</v>
      </c>
      <c r="E356" s="280" t="s">
        <v>1397</v>
      </c>
      <c r="F356" s="154" t="s">
        <v>1948</v>
      </c>
      <c r="G356" s="158" t="s">
        <v>1258</v>
      </c>
      <c r="H356" s="154"/>
      <c r="I356" s="149" t="s">
        <v>927</v>
      </c>
    </row>
    <row r="357" spans="1:9" ht="78" customHeight="1">
      <c r="A357" s="157">
        <v>358</v>
      </c>
      <c r="B357" s="152">
        <v>45779</v>
      </c>
      <c r="C357" s="152">
        <v>45785</v>
      </c>
      <c r="D357" s="210" t="s">
        <v>1321</v>
      </c>
      <c r="E357" s="252" t="s">
        <v>1949</v>
      </c>
      <c r="F357" s="179" t="s">
        <v>1950</v>
      </c>
      <c r="G357" s="158" t="s">
        <v>1258</v>
      </c>
      <c r="I357" s="149" t="s">
        <v>932</v>
      </c>
    </row>
    <row r="358" spans="1:9" ht="78" customHeight="1">
      <c r="A358" s="157">
        <v>359</v>
      </c>
      <c r="B358" s="152">
        <v>45778</v>
      </c>
      <c r="C358" s="152">
        <v>45779</v>
      </c>
      <c r="D358" s="210" t="s">
        <v>1345</v>
      </c>
      <c r="E358" s="252" t="s">
        <v>1951</v>
      </c>
      <c r="F358" s="237" t="s">
        <v>1952</v>
      </c>
      <c r="G358" s="158" t="s">
        <v>1258</v>
      </c>
      <c r="H358" s="154" t="s">
        <v>1953</v>
      </c>
      <c r="I358" s="149" t="s">
        <v>952</v>
      </c>
    </row>
    <row r="359" spans="1:9" ht="78" customHeight="1">
      <c r="A359" s="157">
        <v>360</v>
      </c>
      <c r="B359" s="152">
        <v>45779</v>
      </c>
      <c r="C359" s="152">
        <v>45779</v>
      </c>
      <c r="D359" s="210" t="s">
        <v>1345</v>
      </c>
      <c r="E359" s="252" t="s">
        <v>1954</v>
      </c>
      <c r="F359" s="237" t="s">
        <v>1955</v>
      </c>
      <c r="G359" s="158" t="s">
        <v>1258</v>
      </c>
      <c r="H359" s="156" t="s">
        <v>1956</v>
      </c>
      <c r="I359" s="149" t="s">
        <v>962</v>
      </c>
    </row>
    <row r="360" spans="1:9" ht="78" customHeight="1">
      <c r="A360" s="157">
        <v>361</v>
      </c>
      <c r="B360" s="152">
        <v>45784</v>
      </c>
      <c r="C360" s="152">
        <v>45784</v>
      </c>
      <c r="D360" s="160" t="s">
        <v>1255</v>
      </c>
      <c r="E360" s="252" t="s">
        <v>1256</v>
      </c>
      <c r="F360" s="162" t="s">
        <v>1257</v>
      </c>
      <c r="G360" s="158" t="s">
        <v>1258</v>
      </c>
      <c r="I360" s="149" t="s">
        <v>1012</v>
      </c>
    </row>
    <row r="361" spans="1:9" ht="78" customHeight="1">
      <c r="A361" s="157">
        <v>362</v>
      </c>
      <c r="B361" s="152">
        <v>45784</v>
      </c>
      <c r="C361" s="152">
        <v>45784</v>
      </c>
      <c r="D361" s="160" t="s">
        <v>1255</v>
      </c>
      <c r="E361" s="252" t="s">
        <v>1256</v>
      </c>
      <c r="F361" s="162" t="s">
        <v>1257</v>
      </c>
      <c r="G361" s="158" t="s">
        <v>1258</v>
      </c>
      <c r="I361" s="149" t="s">
        <v>1007</v>
      </c>
    </row>
    <row r="362" spans="1:9" ht="78" customHeight="1">
      <c r="A362" s="157">
        <v>363</v>
      </c>
      <c r="B362" s="152">
        <v>45784</v>
      </c>
      <c r="C362" s="152">
        <v>45784</v>
      </c>
      <c r="D362" s="160" t="s">
        <v>1255</v>
      </c>
      <c r="E362" s="252" t="s">
        <v>1256</v>
      </c>
      <c r="F362" s="162" t="s">
        <v>1257</v>
      </c>
      <c r="G362" s="158" t="s">
        <v>1258</v>
      </c>
      <c r="I362" s="149" t="s">
        <v>957</v>
      </c>
    </row>
    <row r="363" spans="1:9" ht="78" customHeight="1">
      <c r="A363" s="157">
        <v>364</v>
      </c>
      <c r="B363" s="152">
        <v>45784</v>
      </c>
      <c r="C363" s="152">
        <v>45784</v>
      </c>
      <c r="D363" s="160" t="s">
        <v>1255</v>
      </c>
      <c r="E363" s="252" t="s">
        <v>1256</v>
      </c>
      <c r="F363" s="162" t="s">
        <v>1257</v>
      </c>
      <c r="G363" s="158" t="s">
        <v>1258</v>
      </c>
      <c r="I363" s="149" t="s">
        <v>952</v>
      </c>
    </row>
    <row r="364" spans="1:9" ht="78" customHeight="1">
      <c r="A364" s="157">
        <v>365</v>
      </c>
      <c r="B364" s="152">
        <v>45785</v>
      </c>
      <c r="C364" s="152">
        <v>45785</v>
      </c>
      <c r="D364" s="210" t="s">
        <v>1345</v>
      </c>
      <c r="E364" s="280" t="s">
        <v>1957</v>
      </c>
      <c r="F364" s="154" t="s">
        <v>1958</v>
      </c>
      <c r="G364" s="158" t="s">
        <v>1258</v>
      </c>
      <c r="H364" s="154" t="s">
        <v>1959</v>
      </c>
      <c r="I364" s="149" t="s">
        <v>987</v>
      </c>
    </row>
    <row r="365" spans="1:9" ht="78" customHeight="1">
      <c r="A365" s="157">
        <v>366</v>
      </c>
      <c r="B365" s="152">
        <v>45785</v>
      </c>
      <c r="C365" s="152">
        <v>45785</v>
      </c>
      <c r="D365" s="160" t="s">
        <v>1255</v>
      </c>
      <c r="E365" s="252" t="s">
        <v>1256</v>
      </c>
      <c r="F365" s="162" t="s">
        <v>1257</v>
      </c>
      <c r="G365" s="158" t="s">
        <v>1258</v>
      </c>
      <c r="I365" s="149" t="s">
        <v>987</v>
      </c>
    </row>
    <row r="366" spans="1:9" ht="78" customHeight="1">
      <c r="A366" s="157">
        <v>367</v>
      </c>
      <c r="B366" s="152">
        <v>45785</v>
      </c>
      <c r="C366" s="152">
        <v>45785</v>
      </c>
      <c r="D366" s="160" t="s">
        <v>1255</v>
      </c>
      <c r="E366" s="252" t="s">
        <v>1256</v>
      </c>
      <c r="F366" s="162" t="s">
        <v>1257</v>
      </c>
      <c r="G366" s="158" t="s">
        <v>1258</v>
      </c>
      <c r="I366" s="149" t="s">
        <v>937</v>
      </c>
    </row>
    <row r="367" spans="1:9" ht="78" customHeight="1">
      <c r="A367" s="157">
        <v>368</v>
      </c>
      <c r="B367" s="152">
        <v>45784</v>
      </c>
      <c r="C367" s="152">
        <v>45789</v>
      </c>
      <c r="D367" s="210" t="s">
        <v>1960</v>
      </c>
      <c r="E367" s="280" t="s">
        <v>1961</v>
      </c>
      <c r="F367" s="154" t="s">
        <v>1962</v>
      </c>
      <c r="G367" s="158" t="s">
        <v>1258</v>
      </c>
      <c r="H367" s="154" t="s">
        <v>1963</v>
      </c>
      <c r="I367" s="149" t="s">
        <v>927</v>
      </c>
    </row>
    <row r="368" spans="1:9" ht="78" customHeight="1">
      <c r="A368" s="157">
        <v>369</v>
      </c>
      <c r="B368" s="152">
        <v>45786</v>
      </c>
      <c r="C368" s="152">
        <v>45789</v>
      </c>
      <c r="D368" s="210" t="s">
        <v>1321</v>
      </c>
      <c r="E368" s="280" t="s">
        <v>1964</v>
      </c>
      <c r="F368" s="154" t="s">
        <v>1965</v>
      </c>
      <c r="G368" s="158" t="s">
        <v>1258</v>
      </c>
      <c r="I368" s="149" t="s">
        <v>972</v>
      </c>
    </row>
    <row r="369" spans="1:9" ht="78" customHeight="1">
      <c r="A369" s="157">
        <v>370</v>
      </c>
      <c r="B369" s="152">
        <v>45786</v>
      </c>
      <c r="C369" s="152">
        <v>45789</v>
      </c>
      <c r="D369" s="210" t="s">
        <v>1321</v>
      </c>
      <c r="E369" s="280" t="s">
        <v>1838</v>
      </c>
      <c r="F369" s="154" t="s">
        <v>1966</v>
      </c>
      <c r="G369" s="158" t="s">
        <v>1258</v>
      </c>
      <c r="I369" s="149" t="s">
        <v>982</v>
      </c>
    </row>
    <row r="370" spans="1:9" ht="78" customHeight="1">
      <c r="A370" s="157">
        <v>371</v>
      </c>
      <c r="B370" s="152">
        <v>45788</v>
      </c>
      <c r="C370" s="152">
        <v>45789</v>
      </c>
      <c r="D370" s="210" t="s">
        <v>1317</v>
      </c>
      <c r="E370" s="280" t="s">
        <v>1967</v>
      </c>
      <c r="F370" s="154" t="s">
        <v>1968</v>
      </c>
      <c r="G370" s="158" t="s">
        <v>1258</v>
      </c>
      <c r="H370" s="154" t="s">
        <v>1969</v>
      </c>
      <c r="I370" s="149" t="s">
        <v>1017</v>
      </c>
    </row>
    <row r="371" spans="1:9" ht="78" customHeight="1">
      <c r="A371" s="157">
        <v>372</v>
      </c>
      <c r="B371" s="152">
        <v>45789</v>
      </c>
      <c r="C371" s="152">
        <v>45789</v>
      </c>
      <c r="D371" s="210" t="s">
        <v>1281</v>
      </c>
      <c r="E371" s="280" t="s">
        <v>1970</v>
      </c>
      <c r="F371" s="154" t="s">
        <v>1971</v>
      </c>
      <c r="G371" s="158" t="s">
        <v>1258</v>
      </c>
      <c r="I371" s="149" t="s">
        <v>952</v>
      </c>
    </row>
    <row r="372" spans="1:9" ht="78" customHeight="1">
      <c r="A372" s="157">
        <v>373</v>
      </c>
      <c r="B372" s="152">
        <v>45789</v>
      </c>
      <c r="C372" s="152">
        <v>45789</v>
      </c>
      <c r="D372" s="210" t="s">
        <v>1281</v>
      </c>
      <c r="E372" s="280" t="s">
        <v>1972</v>
      </c>
      <c r="F372" s="154" t="s">
        <v>1973</v>
      </c>
      <c r="G372" s="158" t="s">
        <v>1258</v>
      </c>
      <c r="H372" s="154" t="s">
        <v>1974</v>
      </c>
      <c r="I372" s="149" t="s">
        <v>947</v>
      </c>
    </row>
    <row r="373" spans="1:9" ht="78" customHeight="1">
      <c r="A373" s="157">
        <v>374</v>
      </c>
      <c r="B373" s="152">
        <v>45789</v>
      </c>
      <c r="C373" s="152">
        <v>45791</v>
      </c>
      <c r="D373" s="210" t="s">
        <v>1345</v>
      </c>
      <c r="E373" s="280" t="s">
        <v>1975</v>
      </c>
      <c r="F373" s="154" t="s">
        <v>1976</v>
      </c>
      <c r="G373" s="158" t="s">
        <v>1258</v>
      </c>
      <c r="H373" s="154" t="s">
        <v>1977</v>
      </c>
      <c r="I373" s="149" t="s">
        <v>1978</v>
      </c>
    </row>
    <row r="374" spans="1:9" ht="78" customHeight="1">
      <c r="A374" s="157">
        <v>375</v>
      </c>
      <c r="B374" s="152">
        <v>45789</v>
      </c>
      <c r="C374" s="152">
        <v>45789</v>
      </c>
      <c r="D374" s="210" t="s">
        <v>1321</v>
      </c>
      <c r="E374" s="280" t="s">
        <v>1749</v>
      </c>
      <c r="F374" s="154" t="s">
        <v>1979</v>
      </c>
      <c r="G374" s="158" t="s">
        <v>1258</v>
      </c>
      <c r="I374" s="149" t="s">
        <v>1333</v>
      </c>
    </row>
    <row r="375" spans="1:9" ht="78" customHeight="1">
      <c r="A375" s="157">
        <v>376</v>
      </c>
      <c r="B375" s="152">
        <v>45790</v>
      </c>
      <c r="C375" s="152">
        <v>45790</v>
      </c>
      <c r="D375" s="256" t="s">
        <v>1321</v>
      </c>
      <c r="E375" s="280" t="s">
        <v>1980</v>
      </c>
      <c r="F375" s="154" t="s">
        <v>1981</v>
      </c>
      <c r="G375" s="158" t="s">
        <v>1258</v>
      </c>
      <c r="H375" s="156" t="s">
        <v>1982</v>
      </c>
      <c r="I375" s="149" t="s">
        <v>927</v>
      </c>
    </row>
    <row r="376" spans="1:9" ht="78" customHeight="1">
      <c r="A376" s="157">
        <v>377</v>
      </c>
      <c r="B376" s="152">
        <v>45791</v>
      </c>
      <c r="C376" s="152">
        <v>45792</v>
      </c>
      <c r="D376" s="210" t="s">
        <v>1281</v>
      </c>
      <c r="E376" s="279" t="s">
        <v>1980</v>
      </c>
      <c r="F376" s="154" t="s">
        <v>1983</v>
      </c>
      <c r="G376" s="158" t="s">
        <v>1258</v>
      </c>
      <c r="H376" s="154" t="s">
        <v>1984</v>
      </c>
      <c r="I376" s="149" t="s">
        <v>982</v>
      </c>
    </row>
    <row r="377" spans="1:9" ht="78" customHeight="1">
      <c r="A377" s="157">
        <v>378</v>
      </c>
      <c r="B377" s="152">
        <v>45786</v>
      </c>
      <c r="C377" s="152">
        <v>45786</v>
      </c>
      <c r="D377" s="160" t="s">
        <v>1255</v>
      </c>
      <c r="E377" s="252" t="s">
        <v>1256</v>
      </c>
      <c r="F377" s="162" t="s">
        <v>1257</v>
      </c>
      <c r="G377" s="158" t="s">
        <v>1258</v>
      </c>
      <c r="I377" s="149" t="s">
        <v>972</v>
      </c>
    </row>
    <row r="378" spans="1:9" ht="78" customHeight="1">
      <c r="A378" s="157">
        <v>379</v>
      </c>
      <c r="B378" s="152">
        <v>45791</v>
      </c>
      <c r="C378" s="152">
        <v>45791</v>
      </c>
      <c r="D378" s="160" t="s">
        <v>1255</v>
      </c>
      <c r="E378" s="252" t="s">
        <v>1256</v>
      </c>
      <c r="F378" s="162" t="s">
        <v>1257</v>
      </c>
      <c r="G378" s="158" t="s">
        <v>1258</v>
      </c>
      <c r="H378" s="154"/>
      <c r="I378" s="149" t="s">
        <v>932</v>
      </c>
    </row>
    <row r="379" spans="1:9" ht="78" customHeight="1">
      <c r="A379" s="157">
        <v>380</v>
      </c>
      <c r="B379" s="152">
        <v>45791</v>
      </c>
      <c r="C379" s="152">
        <v>45791</v>
      </c>
      <c r="D379" s="160" t="s">
        <v>1255</v>
      </c>
      <c r="E379" s="252" t="s">
        <v>1256</v>
      </c>
      <c r="F379" s="162" t="s">
        <v>1257</v>
      </c>
      <c r="G379" s="158" t="s">
        <v>1258</v>
      </c>
      <c r="H379" s="154"/>
      <c r="I379" s="149" t="s">
        <v>927</v>
      </c>
    </row>
    <row r="380" spans="1:9" ht="78" customHeight="1">
      <c r="A380" s="157">
        <v>381</v>
      </c>
      <c r="B380" s="152">
        <v>45791</v>
      </c>
      <c r="C380" s="152">
        <v>45792</v>
      </c>
      <c r="D380" s="256" t="s">
        <v>1321</v>
      </c>
      <c r="E380" s="280" t="s">
        <v>1646</v>
      </c>
      <c r="F380" s="154" t="s">
        <v>1985</v>
      </c>
      <c r="G380" s="158" t="s">
        <v>1258</v>
      </c>
      <c r="I380" s="149" t="s">
        <v>987</v>
      </c>
    </row>
    <row r="381" spans="1:9" ht="78" customHeight="1">
      <c r="A381" s="157">
        <v>382</v>
      </c>
      <c r="B381" s="152">
        <v>45791</v>
      </c>
      <c r="C381" s="152">
        <v>45792</v>
      </c>
      <c r="D381" s="256" t="s">
        <v>1321</v>
      </c>
      <c r="E381" s="280" t="s">
        <v>1986</v>
      </c>
      <c r="F381" s="154" t="s">
        <v>1987</v>
      </c>
      <c r="G381" s="158" t="s">
        <v>1258</v>
      </c>
      <c r="I381" s="149" t="s">
        <v>1333</v>
      </c>
    </row>
    <row r="382" spans="1:9" ht="78" customHeight="1">
      <c r="A382" s="157">
        <v>383</v>
      </c>
      <c r="B382" s="152">
        <v>45791</v>
      </c>
      <c r="C382" s="152">
        <v>45792</v>
      </c>
      <c r="D382" s="256" t="s">
        <v>1321</v>
      </c>
      <c r="E382" s="280" t="s">
        <v>1988</v>
      </c>
      <c r="F382" s="154" t="s">
        <v>1989</v>
      </c>
      <c r="G382" s="158" t="s">
        <v>1258</v>
      </c>
      <c r="I382" s="149" t="s">
        <v>927</v>
      </c>
    </row>
    <row r="383" spans="1:9" ht="78" customHeight="1">
      <c r="A383" s="157">
        <v>384</v>
      </c>
      <c r="B383" s="152">
        <v>45792</v>
      </c>
      <c r="C383" s="152">
        <v>45792</v>
      </c>
      <c r="D383" s="160" t="s">
        <v>1255</v>
      </c>
      <c r="E383" s="252" t="s">
        <v>1256</v>
      </c>
      <c r="F383" s="162" t="s">
        <v>1257</v>
      </c>
      <c r="G383" s="158" t="s">
        <v>1258</v>
      </c>
      <c r="H383" s="154" t="s">
        <v>1990</v>
      </c>
      <c r="I383" s="149" t="s">
        <v>997</v>
      </c>
    </row>
    <row r="384" spans="1:9" ht="78" customHeight="1">
      <c r="A384" s="157">
        <v>385</v>
      </c>
      <c r="B384" s="152">
        <v>45792</v>
      </c>
      <c r="C384" s="152">
        <v>45792</v>
      </c>
      <c r="D384" s="160" t="s">
        <v>1255</v>
      </c>
      <c r="E384" s="252" t="s">
        <v>1256</v>
      </c>
      <c r="F384" s="162" t="s">
        <v>1257</v>
      </c>
      <c r="G384" s="158" t="s">
        <v>1258</v>
      </c>
      <c r="H384" s="154" t="s">
        <v>1991</v>
      </c>
      <c r="I384" s="149" t="s">
        <v>992</v>
      </c>
    </row>
    <row r="385" spans="1:9" ht="78" customHeight="1">
      <c r="A385" s="157">
        <v>386</v>
      </c>
      <c r="B385" s="152">
        <v>45792</v>
      </c>
      <c r="C385" s="152">
        <v>45792</v>
      </c>
      <c r="D385" s="210" t="s">
        <v>1281</v>
      </c>
      <c r="E385" s="280" t="s">
        <v>1361</v>
      </c>
      <c r="F385" s="154" t="s">
        <v>1992</v>
      </c>
      <c r="G385" s="158" t="s">
        <v>1258</v>
      </c>
      <c r="H385" s="154" t="s">
        <v>1993</v>
      </c>
      <c r="I385" s="149" t="s">
        <v>1002</v>
      </c>
    </row>
    <row r="386" spans="1:9" ht="78" customHeight="1">
      <c r="A386" s="157">
        <v>387</v>
      </c>
      <c r="B386" s="152">
        <v>45793</v>
      </c>
      <c r="C386" s="152">
        <v>45793</v>
      </c>
      <c r="D386" s="160" t="s">
        <v>1255</v>
      </c>
      <c r="E386" s="252" t="s">
        <v>1256</v>
      </c>
      <c r="F386" s="162" t="s">
        <v>1257</v>
      </c>
      <c r="G386" s="158" t="s">
        <v>1258</v>
      </c>
      <c r="H386" s="156" t="s">
        <v>1291</v>
      </c>
      <c r="I386" s="149" t="s">
        <v>982</v>
      </c>
    </row>
    <row r="387" spans="1:9" ht="78" customHeight="1">
      <c r="A387" s="157">
        <v>388</v>
      </c>
      <c r="B387" s="152">
        <v>45793</v>
      </c>
      <c r="C387" s="152">
        <v>45793</v>
      </c>
      <c r="D387" s="160" t="s">
        <v>1255</v>
      </c>
      <c r="E387" s="252" t="s">
        <v>1256</v>
      </c>
      <c r="F387" s="162" t="s">
        <v>1257</v>
      </c>
      <c r="G387" s="158" t="s">
        <v>1258</v>
      </c>
      <c r="I387" s="149" t="s">
        <v>942</v>
      </c>
    </row>
    <row r="388" spans="1:9" ht="78" customHeight="1">
      <c r="A388" s="157">
        <v>389</v>
      </c>
      <c r="B388" s="152">
        <v>45793</v>
      </c>
      <c r="C388" s="152">
        <v>45793</v>
      </c>
      <c r="D388" s="160" t="s">
        <v>1255</v>
      </c>
      <c r="E388" s="252" t="s">
        <v>1256</v>
      </c>
      <c r="F388" s="162" t="s">
        <v>1257</v>
      </c>
      <c r="G388" s="158" t="s">
        <v>1258</v>
      </c>
      <c r="H388" s="154" t="s">
        <v>1994</v>
      </c>
      <c r="I388" s="149" t="s">
        <v>1017</v>
      </c>
    </row>
    <row r="389" spans="1:9" ht="78" customHeight="1">
      <c r="A389" s="157">
        <v>390</v>
      </c>
      <c r="B389" s="152">
        <v>45793</v>
      </c>
      <c r="C389" s="152">
        <v>45793</v>
      </c>
      <c r="D389" s="160" t="s">
        <v>1255</v>
      </c>
      <c r="E389" s="252" t="s">
        <v>1256</v>
      </c>
      <c r="F389" s="162" t="s">
        <v>1257</v>
      </c>
      <c r="G389" s="158" t="s">
        <v>1258</v>
      </c>
      <c r="H389" s="154"/>
      <c r="I389" s="149" t="s">
        <v>977</v>
      </c>
    </row>
    <row r="390" spans="1:9" ht="78" customHeight="1">
      <c r="A390" s="157">
        <v>391</v>
      </c>
      <c r="B390" s="152">
        <v>45794</v>
      </c>
      <c r="C390" s="152">
        <v>45794</v>
      </c>
      <c r="D390" s="210" t="s">
        <v>1345</v>
      </c>
      <c r="E390" s="280" t="s">
        <v>2156</v>
      </c>
      <c r="F390" s="154" t="s">
        <v>2157</v>
      </c>
      <c r="G390" s="158" t="s">
        <v>1258</v>
      </c>
      <c r="H390" s="154" t="s">
        <v>2158</v>
      </c>
      <c r="I390" s="149" t="s">
        <v>937</v>
      </c>
    </row>
    <row r="391" spans="1:9" ht="78" customHeight="1">
      <c r="A391" s="157">
        <v>392</v>
      </c>
      <c r="B391" s="152">
        <v>45796</v>
      </c>
      <c r="C391" s="152">
        <v>45796</v>
      </c>
      <c r="D391" s="210" t="s">
        <v>1345</v>
      </c>
      <c r="E391" s="280" t="s">
        <v>2159</v>
      </c>
      <c r="F391" s="154" t="s">
        <v>2160</v>
      </c>
      <c r="G391" s="158" t="s">
        <v>1258</v>
      </c>
      <c r="H391" s="154" t="s">
        <v>2161</v>
      </c>
      <c r="I391" s="149" t="s">
        <v>987</v>
      </c>
    </row>
    <row r="392" spans="1:9" ht="78" customHeight="1">
      <c r="A392" s="157">
        <v>393</v>
      </c>
      <c r="B392" s="152">
        <v>45797</v>
      </c>
      <c r="C392" s="152">
        <v>45797</v>
      </c>
      <c r="D392" s="210" t="s">
        <v>1281</v>
      </c>
      <c r="E392" s="280" t="s">
        <v>2162</v>
      </c>
      <c r="F392" s="154" t="s">
        <v>2163</v>
      </c>
      <c r="G392" s="158" t="s">
        <v>1258</v>
      </c>
      <c r="H392" s="154" t="s">
        <v>2164</v>
      </c>
      <c r="I392" s="149" t="s">
        <v>1002</v>
      </c>
    </row>
    <row r="393" spans="1:9" ht="78" customHeight="1">
      <c r="A393" s="157">
        <v>394</v>
      </c>
      <c r="B393" s="152">
        <v>45797</v>
      </c>
      <c r="C393" s="275">
        <v>45804</v>
      </c>
      <c r="D393" s="256" t="s">
        <v>1321</v>
      </c>
      <c r="E393" s="280" t="s">
        <v>2165</v>
      </c>
      <c r="F393" s="154" t="s">
        <v>2166</v>
      </c>
      <c r="G393" s="158" t="s">
        <v>1258</v>
      </c>
      <c r="I393" s="149" t="s">
        <v>927</v>
      </c>
    </row>
    <row r="394" spans="1:9" ht="78" customHeight="1">
      <c r="A394" s="157">
        <v>395</v>
      </c>
      <c r="B394" s="152">
        <v>45797</v>
      </c>
      <c r="C394" s="152">
        <v>45797</v>
      </c>
      <c r="D394" s="210" t="s">
        <v>1281</v>
      </c>
      <c r="E394" s="280" t="s">
        <v>2167</v>
      </c>
      <c r="F394" s="154" t="s">
        <v>2168</v>
      </c>
      <c r="G394" s="158" t="s">
        <v>1258</v>
      </c>
      <c r="H394" s="154" t="s">
        <v>2169</v>
      </c>
      <c r="I394" s="149" t="s">
        <v>952</v>
      </c>
    </row>
    <row r="395" spans="1:9" ht="78" customHeight="1">
      <c r="A395" s="157">
        <v>396</v>
      </c>
      <c r="B395" s="152">
        <v>45798</v>
      </c>
      <c r="C395" s="275">
        <v>45799</v>
      </c>
      <c r="D395" s="210" t="s">
        <v>1281</v>
      </c>
      <c r="E395" s="279" t="s">
        <v>2195</v>
      </c>
      <c r="F395" s="154" t="s">
        <v>2196</v>
      </c>
      <c r="G395" s="158" t="s">
        <v>1258</v>
      </c>
      <c r="H395" s="156" t="s">
        <v>2197</v>
      </c>
      <c r="I395" s="149" t="s">
        <v>947</v>
      </c>
    </row>
    <row r="396" spans="1:9" ht="78" customHeight="1">
      <c r="A396" s="157">
        <v>397</v>
      </c>
      <c r="B396" s="275">
        <v>45799</v>
      </c>
      <c r="C396" s="275">
        <v>45799</v>
      </c>
      <c r="D396" s="256" t="s">
        <v>2198</v>
      </c>
      <c r="E396" s="280" t="s">
        <v>2199</v>
      </c>
      <c r="F396" s="154" t="s">
        <v>2200</v>
      </c>
      <c r="G396" s="158" t="s">
        <v>1258</v>
      </c>
      <c r="H396" s="154" t="s">
        <v>2201</v>
      </c>
      <c r="I396" s="149" t="s">
        <v>1007</v>
      </c>
    </row>
    <row r="397" spans="1:9" ht="78" customHeight="1">
      <c r="A397" s="157">
        <v>398</v>
      </c>
      <c r="B397" s="275">
        <v>45799</v>
      </c>
      <c r="C397" s="275">
        <v>45804</v>
      </c>
      <c r="D397" s="256" t="s">
        <v>1321</v>
      </c>
      <c r="E397" s="279" t="s">
        <v>1845</v>
      </c>
      <c r="F397" s="154" t="s">
        <v>2202</v>
      </c>
      <c r="G397" s="158" t="s">
        <v>1258</v>
      </c>
      <c r="I397" s="149" t="s">
        <v>972</v>
      </c>
    </row>
    <row r="398" spans="1:9" ht="78" customHeight="1">
      <c r="A398" s="157">
        <v>399</v>
      </c>
      <c r="B398" s="152">
        <v>45800</v>
      </c>
      <c r="C398" s="152">
        <v>45810</v>
      </c>
      <c r="D398" s="256" t="s">
        <v>1321</v>
      </c>
      <c r="E398" s="280" t="s">
        <v>2247</v>
      </c>
      <c r="F398" s="154" t="s">
        <v>2248</v>
      </c>
      <c r="G398" s="158" t="s">
        <v>1258</v>
      </c>
      <c r="I398" s="149" t="s">
        <v>932</v>
      </c>
    </row>
    <row r="399" spans="1:9" ht="78" customHeight="1">
      <c r="A399" s="157">
        <v>400</v>
      </c>
      <c r="B399" s="152">
        <v>45800</v>
      </c>
      <c r="C399" s="275">
        <v>45804</v>
      </c>
      <c r="D399" s="256" t="s">
        <v>1321</v>
      </c>
      <c r="E399" s="280" t="s">
        <v>1405</v>
      </c>
      <c r="F399" s="154" t="s">
        <v>2250</v>
      </c>
      <c r="G399" s="158" t="s">
        <v>1258</v>
      </c>
      <c r="I399" s="149" t="s">
        <v>932</v>
      </c>
    </row>
    <row r="400" spans="1:9" ht="78" customHeight="1">
      <c r="A400" s="157">
        <v>401</v>
      </c>
      <c r="B400" s="275">
        <v>45804</v>
      </c>
      <c r="C400" s="275">
        <v>45804</v>
      </c>
      <c r="D400" s="256" t="s">
        <v>1321</v>
      </c>
      <c r="E400" s="280" t="s">
        <v>2251</v>
      </c>
      <c r="F400" s="154" t="s">
        <v>2252</v>
      </c>
      <c r="G400" s="158" t="s">
        <v>1258</v>
      </c>
      <c r="H400" s="154" t="s">
        <v>2253</v>
      </c>
      <c r="I400" s="149" t="s">
        <v>927</v>
      </c>
    </row>
    <row r="401" spans="1:9" ht="78" customHeight="1">
      <c r="A401" s="157">
        <v>402</v>
      </c>
      <c r="B401" s="275">
        <v>45804</v>
      </c>
      <c r="C401" s="275">
        <v>45804</v>
      </c>
      <c r="D401" s="210" t="s">
        <v>1345</v>
      </c>
      <c r="E401" s="280" t="s">
        <v>2254</v>
      </c>
      <c r="F401" s="154" t="s">
        <v>2255</v>
      </c>
      <c r="G401" s="158" t="s">
        <v>1258</v>
      </c>
      <c r="H401" s="154" t="s">
        <v>2256</v>
      </c>
      <c r="I401" s="149" t="s">
        <v>972</v>
      </c>
    </row>
    <row r="402" spans="1:9" ht="78" customHeight="1">
      <c r="A402" s="157">
        <v>403</v>
      </c>
      <c r="B402" s="275">
        <v>45804</v>
      </c>
      <c r="C402" s="275">
        <v>45804</v>
      </c>
      <c r="D402" s="210" t="s">
        <v>1281</v>
      </c>
      <c r="E402" s="280" t="s">
        <v>2257</v>
      </c>
      <c r="F402" s="154" t="s">
        <v>2258</v>
      </c>
      <c r="G402" s="158" t="s">
        <v>1258</v>
      </c>
      <c r="H402" s="156" t="s">
        <v>2259</v>
      </c>
      <c r="I402" s="149" t="s">
        <v>947</v>
      </c>
    </row>
    <row r="403" spans="1:9" ht="78" customHeight="1">
      <c r="A403" s="157">
        <v>404</v>
      </c>
      <c r="B403" s="275">
        <v>45804</v>
      </c>
      <c r="C403" s="275">
        <v>45804</v>
      </c>
      <c r="D403" s="210" t="s">
        <v>1281</v>
      </c>
      <c r="E403" s="280" t="s">
        <v>1361</v>
      </c>
      <c r="F403" s="154" t="s">
        <v>2260</v>
      </c>
      <c r="G403" s="158" t="s">
        <v>1258</v>
      </c>
      <c r="H403" s="154" t="s">
        <v>2261</v>
      </c>
      <c r="I403" s="149" t="s">
        <v>967</v>
      </c>
    </row>
    <row r="404" spans="1:9" ht="78" customHeight="1">
      <c r="A404" s="157">
        <v>405</v>
      </c>
      <c r="B404" s="275">
        <v>45803</v>
      </c>
      <c r="C404" s="275">
        <v>45803</v>
      </c>
      <c r="D404" s="160" t="s">
        <v>1255</v>
      </c>
      <c r="E404" s="252" t="s">
        <v>1256</v>
      </c>
      <c r="F404" s="162" t="s">
        <v>1257</v>
      </c>
      <c r="G404" s="158" t="s">
        <v>1258</v>
      </c>
      <c r="I404" s="149" t="s">
        <v>967</v>
      </c>
    </row>
    <row r="405" spans="1:9" ht="78" customHeight="1">
      <c r="A405" s="157">
        <v>406</v>
      </c>
      <c r="B405" s="275">
        <v>45803</v>
      </c>
      <c r="C405" s="275">
        <v>45803</v>
      </c>
      <c r="D405" s="160" t="s">
        <v>1255</v>
      </c>
      <c r="E405" s="252" t="s">
        <v>1256</v>
      </c>
      <c r="F405" s="162" t="s">
        <v>1257</v>
      </c>
      <c r="G405" s="158" t="s">
        <v>1258</v>
      </c>
      <c r="H405" s="156" t="s">
        <v>2262</v>
      </c>
      <c r="I405" s="149" t="s">
        <v>962</v>
      </c>
    </row>
    <row r="406" spans="1:9" ht="78" customHeight="1">
      <c r="A406" s="157">
        <v>407</v>
      </c>
      <c r="B406" s="275">
        <v>45803</v>
      </c>
      <c r="C406" s="275">
        <v>45803</v>
      </c>
      <c r="D406" s="160" t="s">
        <v>1255</v>
      </c>
      <c r="E406" s="252" t="s">
        <v>1256</v>
      </c>
      <c r="F406" s="162" t="s">
        <v>1257</v>
      </c>
      <c r="G406" s="158" t="s">
        <v>1258</v>
      </c>
      <c r="H406" s="156" t="s">
        <v>2263</v>
      </c>
      <c r="I406" s="149" t="s">
        <v>1002</v>
      </c>
    </row>
    <row r="407" spans="1:9" ht="78" customHeight="1">
      <c r="A407" s="157">
        <v>408</v>
      </c>
      <c r="B407" s="152">
        <v>45805</v>
      </c>
      <c r="C407" s="152">
        <v>45805</v>
      </c>
      <c r="D407" s="210" t="s">
        <v>1281</v>
      </c>
      <c r="E407" s="280" t="s">
        <v>2264</v>
      </c>
      <c r="F407" s="154" t="s">
        <v>2265</v>
      </c>
      <c r="G407" s="158" t="s">
        <v>1258</v>
      </c>
      <c r="H407" s="154" t="s">
        <v>2266</v>
      </c>
      <c r="I407" s="149" t="s">
        <v>1782</v>
      </c>
    </row>
    <row r="408" spans="1:9" ht="78" customHeight="1">
      <c r="A408" s="157">
        <v>409</v>
      </c>
      <c r="B408" s="152">
        <v>45805</v>
      </c>
      <c r="C408" s="152">
        <v>45805</v>
      </c>
      <c r="D408" s="210" t="s">
        <v>1281</v>
      </c>
      <c r="E408" s="362" t="s">
        <v>2267</v>
      </c>
      <c r="F408" s="154" t="s">
        <v>2268</v>
      </c>
      <c r="G408" s="158" t="s">
        <v>1258</v>
      </c>
      <c r="H408" s="156" t="s">
        <v>2274</v>
      </c>
      <c r="I408" s="149" t="s">
        <v>972</v>
      </c>
    </row>
    <row r="409" spans="1:9" ht="78" customHeight="1">
      <c r="A409" s="157">
        <v>410</v>
      </c>
      <c r="B409" s="152">
        <v>45806</v>
      </c>
      <c r="C409" s="152">
        <v>45806</v>
      </c>
      <c r="D409" s="210" t="s">
        <v>1281</v>
      </c>
      <c r="E409" s="252" t="s">
        <v>1324</v>
      </c>
      <c r="F409" s="154" t="s">
        <v>2275</v>
      </c>
      <c r="G409" s="158" t="s">
        <v>1258</v>
      </c>
      <c r="H409" s="154" t="s">
        <v>1365</v>
      </c>
      <c r="I409" s="149" t="s">
        <v>942</v>
      </c>
    </row>
    <row r="410" spans="1:9" ht="78" customHeight="1">
      <c r="A410" s="157">
        <v>411</v>
      </c>
      <c r="B410" s="152">
        <v>45805</v>
      </c>
      <c r="C410" s="152">
        <v>45805</v>
      </c>
      <c r="D410" s="210" t="s">
        <v>1321</v>
      </c>
      <c r="E410" s="280" t="s">
        <v>2276</v>
      </c>
      <c r="F410" s="154" t="s">
        <v>2277</v>
      </c>
      <c r="G410" s="158" t="s">
        <v>1258</v>
      </c>
      <c r="H410" s="154" t="s">
        <v>2278</v>
      </c>
      <c r="I410" s="149" t="s">
        <v>927</v>
      </c>
    </row>
    <row r="411" spans="1:9" ht="78" customHeight="1">
      <c r="A411" s="157">
        <v>412</v>
      </c>
      <c r="B411" s="152">
        <v>45806</v>
      </c>
      <c r="C411" s="153">
        <v>45812</v>
      </c>
      <c r="D411" s="210" t="s">
        <v>1321</v>
      </c>
      <c r="E411" s="280" t="s">
        <v>2279</v>
      </c>
      <c r="F411" s="154" t="s">
        <v>2280</v>
      </c>
      <c r="G411" s="158" t="s">
        <v>1258</v>
      </c>
      <c r="H411" s="154" t="s">
        <v>2317</v>
      </c>
      <c r="I411" s="149" t="s">
        <v>927</v>
      </c>
    </row>
    <row r="412" spans="1:9" ht="78" customHeight="1">
      <c r="A412" s="157">
        <v>413</v>
      </c>
      <c r="B412" s="152">
        <v>45807</v>
      </c>
      <c r="C412" s="153">
        <v>45812</v>
      </c>
      <c r="D412" s="210" t="s">
        <v>1321</v>
      </c>
      <c r="E412" s="280" t="s">
        <v>2318</v>
      </c>
      <c r="F412" s="154" t="s">
        <v>2319</v>
      </c>
      <c r="G412" s="158" t="s">
        <v>1258</v>
      </c>
      <c r="H412" s="154" t="s">
        <v>2320</v>
      </c>
      <c r="I412" s="149" t="s">
        <v>927</v>
      </c>
    </row>
    <row r="413" spans="1:9" ht="78" customHeight="1">
      <c r="A413" s="157">
        <v>414</v>
      </c>
      <c r="B413" s="152">
        <v>45808</v>
      </c>
      <c r="C413" s="152">
        <v>45810</v>
      </c>
      <c r="D413" s="210" t="s">
        <v>1281</v>
      </c>
      <c r="E413" s="280" t="s">
        <v>2288</v>
      </c>
      <c r="F413" s="154" t="s">
        <v>2289</v>
      </c>
      <c r="G413" s="158" t="s">
        <v>1258</v>
      </c>
      <c r="H413" s="154" t="s">
        <v>2290</v>
      </c>
      <c r="I413" s="149" t="s">
        <v>972</v>
      </c>
    </row>
    <row r="414" spans="1:9" ht="78" customHeight="1">
      <c r="A414" s="157">
        <v>415</v>
      </c>
      <c r="B414" s="152">
        <v>45810</v>
      </c>
      <c r="C414" s="152">
        <v>45810</v>
      </c>
      <c r="D414" s="160" t="s">
        <v>1255</v>
      </c>
      <c r="E414" s="252" t="s">
        <v>1256</v>
      </c>
      <c r="F414" s="162" t="s">
        <v>1257</v>
      </c>
      <c r="G414" s="158" t="s">
        <v>1258</v>
      </c>
      <c r="H414" s="156" t="s">
        <v>2203</v>
      </c>
      <c r="I414" s="149" t="s">
        <v>937</v>
      </c>
    </row>
    <row r="415" spans="1:9" ht="78" customHeight="1">
      <c r="A415" s="157">
        <v>416</v>
      </c>
      <c r="B415" s="152">
        <v>45810</v>
      </c>
      <c r="C415" s="153">
        <v>45812</v>
      </c>
      <c r="D415" s="210" t="s">
        <v>1321</v>
      </c>
      <c r="E415" s="280" t="s">
        <v>2291</v>
      </c>
      <c r="F415" s="154" t="s">
        <v>2292</v>
      </c>
      <c r="G415" s="158" t="s">
        <v>1258</v>
      </c>
      <c r="H415" s="154" t="s">
        <v>2293</v>
      </c>
      <c r="I415" s="149" t="s">
        <v>932</v>
      </c>
    </row>
    <row r="416" spans="1:9" ht="78" customHeight="1">
      <c r="A416" s="157">
        <v>417</v>
      </c>
      <c r="B416" s="152">
        <v>45810</v>
      </c>
      <c r="C416" s="153">
        <v>45812</v>
      </c>
      <c r="D416" s="210" t="s">
        <v>1321</v>
      </c>
      <c r="E416" s="280" t="s">
        <v>2294</v>
      </c>
      <c r="F416" s="154" t="s">
        <v>2295</v>
      </c>
      <c r="G416" s="158" t="s">
        <v>1258</v>
      </c>
      <c r="I416" s="149" t="s">
        <v>942</v>
      </c>
    </row>
    <row r="417" spans="1:9" ht="78" customHeight="1">
      <c r="A417" s="157">
        <v>418</v>
      </c>
      <c r="B417" s="152">
        <v>45812</v>
      </c>
      <c r="C417" s="153">
        <v>45812</v>
      </c>
      <c r="D417" s="210" t="s">
        <v>1321</v>
      </c>
      <c r="E417" s="280" t="s">
        <v>2296</v>
      </c>
      <c r="F417" s="154" t="s">
        <v>2297</v>
      </c>
      <c r="G417" s="158" t="s">
        <v>1258</v>
      </c>
      <c r="H417" s="154" t="s">
        <v>2321</v>
      </c>
      <c r="I417" s="149" t="s">
        <v>932</v>
      </c>
    </row>
    <row r="418" spans="1:9" ht="78" customHeight="1">
      <c r="A418" s="157">
        <v>419</v>
      </c>
      <c r="B418" s="153">
        <v>45812</v>
      </c>
      <c r="C418" s="153">
        <v>45812</v>
      </c>
      <c r="D418" s="210" t="s">
        <v>1345</v>
      </c>
      <c r="E418" s="280" t="s">
        <v>2322</v>
      </c>
      <c r="F418" s="154" t="s">
        <v>2323</v>
      </c>
      <c r="G418" s="158" t="s">
        <v>1258</v>
      </c>
      <c r="H418" s="156" t="s">
        <v>1696</v>
      </c>
      <c r="I418" s="149" t="s">
        <v>942</v>
      </c>
    </row>
    <row r="419" spans="1:9" ht="78" customHeight="1">
      <c r="A419" s="157">
        <v>420</v>
      </c>
      <c r="B419" s="153">
        <v>45812</v>
      </c>
      <c r="C419" s="153">
        <v>45812</v>
      </c>
      <c r="D419" s="160" t="s">
        <v>1255</v>
      </c>
      <c r="E419" s="252" t="s">
        <v>1256</v>
      </c>
      <c r="F419" s="162" t="s">
        <v>1257</v>
      </c>
      <c r="G419" s="158" t="s">
        <v>1258</v>
      </c>
      <c r="H419" s="154" t="s">
        <v>2324</v>
      </c>
      <c r="I419" s="149" t="s">
        <v>1017</v>
      </c>
    </row>
    <row r="420" spans="1:9" ht="78" customHeight="1">
      <c r="A420" s="157">
        <v>421</v>
      </c>
      <c r="B420" s="153">
        <v>45812</v>
      </c>
      <c r="C420" s="153">
        <v>45812</v>
      </c>
      <c r="D420" s="160" t="s">
        <v>1255</v>
      </c>
      <c r="E420" s="252" t="s">
        <v>1256</v>
      </c>
      <c r="F420" s="162" t="s">
        <v>1257</v>
      </c>
      <c r="G420" s="158" t="s">
        <v>1258</v>
      </c>
      <c r="H420" s="154"/>
      <c r="I420" s="149" t="s">
        <v>942</v>
      </c>
    </row>
    <row r="421" spans="1:9" ht="78" customHeight="1">
      <c r="A421" s="157">
        <v>422</v>
      </c>
      <c r="B421" s="153">
        <v>45812</v>
      </c>
      <c r="C421" s="153">
        <v>45812</v>
      </c>
      <c r="D421" s="160" t="s">
        <v>1255</v>
      </c>
      <c r="E421" s="252" t="s">
        <v>1256</v>
      </c>
      <c r="F421" s="162" t="s">
        <v>1257</v>
      </c>
      <c r="G421" s="158" t="s">
        <v>1258</v>
      </c>
      <c r="H421" s="154"/>
      <c r="I421" s="149" t="s">
        <v>977</v>
      </c>
    </row>
    <row r="422" spans="1:9" ht="78" customHeight="1">
      <c r="A422" s="157">
        <v>423</v>
      </c>
      <c r="B422" s="153">
        <v>45812</v>
      </c>
      <c r="C422" s="153">
        <v>45812</v>
      </c>
      <c r="D422" s="210" t="s">
        <v>1281</v>
      </c>
      <c r="E422" s="280" t="s">
        <v>1801</v>
      </c>
      <c r="F422" s="154" t="s">
        <v>2325</v>
      </c>
      <c r="G422" s="158" t="s">
        <v>1258</v>
      </c>
      <c r="H422" s="154" t="s">
        <v>2326</v>
      </c>
      <c r="I422" s="149" t="s">
        <v>962</v>
      </c>
    </row>
    <row r="423" spans="1:9" ht="78" customHeight="1">
      <c r="A423" s="157">
        <v>424</v>
      </c>
      <c r="B423" s="153">
        <v>45812</v>
      </c>
      <c r="C423" s="153">
        <v>45812</v>
      </c>
      <c r="D423" s="210" t="s">
        <v>1281</v>
      </c>
      <c r="E423" s="280" t="s">
        <v>2327</v>
      </c>
      <c r="F423" s="154" t="s">
        <v>2328</v>
      </c>
      <c r="G423" s="158" t="s">
        <v>1258</v>
      </c>
      <c r="H423" s="154" t="s">
        <v>2329</v>
      </c>
      <c r="I423" s="149" t="s">
        <v>947</v>
      </c>
    </row>
    <row r="424" spans="1:9" ht="78" customHeight="1">
      <c r="A424" s="157">
        <v>425</v>
      </c>
      <c r="B424" s="153">
        <v>45812</v>
      </c>
      <c r="C424" s="153">
        <v>45812</v>
      </c>
      <c r="D424" s="210" t="s">
        <v>1281</v>
      </c>
      <c r="E424" s="280" t="s">
        <v>2330</v>
      </c>
      <c r="F424" s="154" t="s">
        <v>2331</v>
      </c>
      <c r="G424" s="158" t="s">
        <v>1258</v>
      </c>
      <c r="H424" s="154" t="s">
        <v>2332</v>
      </c>
      <c r="I424" s="149" t="s">
        <v>927</v>
      </c>
    </row>
    <row r="425" spans="1:9" ht="78" customHeight="1">
      <c r="A425" s="157">
        <v>426</v>
      </c>
      <c r="B425" s="152">
        <v>45813</v>
      </c>
      <c r="C425" s="152">
        <v>45819</v>
      </c>
      <c r="D425" s="210" t="s">
        <v>1321</v>
      </c>
      <c r="E425" s="279" t="s">
        <v>2403</v>
      </c>
      <c r="F425" s="237" t="s">
        <v>2333</v>
      </c>
      <c r="G425" s="158" t="s">
        <v>1258</v>
      </c>
      <c r="H425" s="154" t="s">
        <v>2404</v>
      </c>
      <c r="I425" s="149" t="s">
        <v>932</v>
      </c>
    </row>
    <row r="426" spans="1:9" ht="78" customHeight="1">
      <c r="A426" s="157">
        <v>427</v>
      </c>
      <c r="B426" s="152">
        <v>45813</v>
      </c>
      <c r="C426" s="152">
        <v>45817</v>
      </c>
      <c r="D426" s="210" t="s">
        <v>1321</v>
      </c>
      <c r="E426" s="252" t="s">
        <v>2334</v>
      </c>
      <c r="F426" s="237" t="s">
        <v>2335</v>
      </c>
      <c r="G426" s="158" t="s">
        <v>1258</v>
      </c>
      <c r="I426" s="149" t="s">
        <v>972</v>
      </c>
    </row>
    <row r="427" spans="1:9" ht="78" customHeight="1">
      <c r="A427" s="157">
        <v>428</v>
      </c>
      <c r="B427" s="152">
        <v>45813</v>
      </c>
      <c r="C427" s="152">
        <v>45820</v>
      </c>
      <c r="D427" s="210" t="s">
        <v>1321</v>
      </c>
      <c r="E427" s="252" t="s">
        <v>2336</v>
      </c>
      <c r="F427" s="237" t="s">
        <v>2337</v>
      </c>
      <c r="G427" s="158" t="s">
        <v>1258</v>
      </c>
      <c r="I427" s="149" t="s">
        <v>1333</v>
      </c>
    </row>
    <row r="428" spans="1:9" ht="78" customHeight="1">
      <c r="A428" s="157">
        <v>429</v>
      </c>
      <c r="B428" s="152">
        <v>45813</v>
      </c>
      <c r="C428" s="152">
        <v>45818</v>
      </c>
      <c r="D428" s="210" t="s">
        <v>1345</v>
      </c>
      <c r="E428" s="252" t="s">
        <v>2338</v>
      </c>
      <c r="F428" s="237" t="s">
        <v>2339</v>
      </c>
      <c r="G428" s="158" t="s">
        <v>1258</v>
      </c>
      <c r="H428" s="154" t="s">
        <v>2370</v>
      </c>
      <c r="I428" s="149" t="s">
        <v>972</v>
      </c>
    </row>
    <row r="429" spans="1:9" ht="78" customHeight="1">
      <c r="A429" s="157">
        <v>430</v>
      </c>
      <c r="B429" s="152">
        <v>45813</v>
      </c>
      <c r="C429" s="152"/>
      <c r="D429" s="256" t="s">
        <v>1281</v>
      </c>
      <c r="E429" s="362" t="s">
        <v>2340</v>
      </c>
      <c r="F429" s="244" t="s">
        <v>2341</v>
      </c>
      <c r="G429" s="363" t="s">
        <v>2249</v>
      </c>
      <c r="H429" s="156" t="s">
        <v>2342</v>
      </c>
      <c r="I429" s="149" t="s">
        <v>942</v>
      </c>
    </row>
    <row r="430" spans="1:9" ht="78" customHeight="1">
      <c r="A430" s="157">
        <v>431</v>
      </c>
      <c r="B430" s="152">
        <v>45817</v>
      </c>
      <c r="C430" s="152">
        <v>45817</v>
      </c>
      <c r="D430" s="256" t="s">
        <v>1281</v>
      </c>
      <c r="E430" s="252" t="s">
        <v>2359</v>
      </c>
      <c r="F430" s="220" t="s">
        <v>2360</v>
      </c>
      <c r="G430" s="158" t="s">
        <v>1258</v>
      </c>
      <c r="H430" s="154" t="s">
        <v>2361</v>
      </c>
      <c r="I430" s="149" t="s">
        <v>962</v>
      </c>
    </row>
    <row r="431" spans="1:9" ht="78" customHeight="1">
      <c r="A431" s="157">
        <v>432</v>
      </c>
      <c r="B431" s="152">
        <v>45817</v>
      </c>
      <c r="C431" s="152">
        <v>45820</v>
      </c>
      <c r="D431" s="210" t="s">
        <v>1757</v>
      </c>
      <c r="E431" s="252" t="s">
        <v>2362</v>
      </c>
      <c r="F431" s="237" t="s">
        <v>2363</v>
      </c>
      <c r="G431" s="158" t="s">
        <v>1258</v>
      </c>
      <c r="H431" s="154" t="s">
        <v>2423</v>
      </c>
      <c r="I431" s="149" t="s">
        <v>952</v>
      </c>
    </row>
    <row r="432" spans="1:9" ht="78" customHeight="1">
      <c r="A432" s="157">
        <v>433</v>
      </c>
      <c r="B432" s="152">
        <v>45817</v>
      </c>
      <c r="C432" s="152">
        <v>45817</v>
      </c>
      <c r="D432" s="210" t="s">
        <v>1281</v>
      </c>
      <c r="E432" s="252" t="s">
        <v>2364</v>
      </c>
      <c r="F432" s="179" t="s">
        <v>2365</v>
      </c>
      <c r="G432" s="158" t="s">
        <v>1258</v>
      </c>
      <c r="H432" s="156" t="s">
        <v>2366</v>
      </c>
      <c r="I432" s="149" t="s">
        <v>932</v>
      </c>
    </row>
    <row r="433" spans="1:9" ht="78" customHeight="1">
      <c r="A433" s="157">
        <v>434</v>
      </c>
      <c r="B433" s="152">
        <v>45817</v>
      </c>
      <c r="C433" s="152">
        <v>45820</v>
      </c>
      <c r="D433" s="210" t="s">
        <v>1281</v>
      </c>
      <c r="E433" s="280" t="s">
        <v>2367</v>
      </c>
      <c r="F433" s="154" t="s">
        <v>2368</v>
      </c>
      <c r="G433" s="158" t="s">
        <v>1258</v>
      </c>
      <c r="H433" s="154" t="s">
        <v>2424</v>
      </c>
      <c r="I433" s="149" t="s">
        <v>932</v>
      </c>
    </row>
    <row r="434" spans="1:9" ht="78" customHeight="1">
      <c r="A434" s="157">
        <v>435</v>
      </c>
      <c r="B434" s="152">
        <v>45817</v>
      </c>
      <c r="C434" s="152">
        <v>45817</v>
      </c>
      <c r="D434" s="210" t="s">
        <v>1255</v>
      </c>
      <c r="E434" s="252" t="s">
        <v>1256</v>
      </c>
      <c r="F434" s="162" t="s">
        <v>1257</v>
      </c>
      <c r="G434" s="158" t="s">
        <v>1258</v>
      </c>
      <c r="H434" s="154" t="s">
        <v>2369</v>
      </c>
      <c r="I434" s="149" t="s">
        <v>1002</v>
      </c>
    </row>
    <row r="435" spans="1:9" ht="78" customHeight="1">
      <c r="A435" s="157">
        <v>436</v>
      </c>
      <c r="B435" s="152">
        <v>45817</v>
      </c>
      <c r="C435" s="152">
        <v>45817</v>
      </c>
      <c r="D435" s="210" t="s">
        <v>1255</v>
      </c>
      <c r="E435" s="252" t="s">
        <v>1256</v>
      </c>
      <c r="F435" s="162" t="s">
        <v>1257</v>
      </c>
      <c r="G435" s="158" t="s">
        <v>1258</v>
      </c>
      <c r="H435" s="154"/>
      <c r="I435" s="149" t="s">
        <v>1007</v>
      </c>
    </row>
    <row r="436" spans="1:9" ht="78" customHeight="1">
      <c r="A436" s="157">
        <v>437</v>
      </c>
      <c r="B436" s="152">
        <v>45817</v>
      </c>
      <c r="C436" s="152">
        <v>45817</v>
      </c>
      <c r="D436" s="210" t="s">
        <v>1255</v>
      </c>
      <c r="E436" s="252" t="s">
        <v>1256</v>
      </c>
      <c r="F436" s="162" t="s">
        <v>1257</v>
      </c>
      <c r="G436" s="158" t="s">
        <v>1258</v>
      </c>
      <c r="I436" s="149" t="s">
        <v>1012</v>
      </c>
    </row>
    <row r="437" spans="1:9" ht="78" customHeight="1">
      <c r="A437" s="157">
        <v>438</v>
      </c>
      <c r="B437" s="152">
        <v>45818</v>
      </c>
      <c r="C437" s="152">
        <v>45818</v>
      </c>
      <c r="D437" s="210" t="s">
        <v>1281</v>
      </c>
      <c r="E437" s="362" t="s">
        <v>1893</v>
      </c>
      <c r="F437" s="244" t="s">
        <v>2371</v>
      </c>
      <c r="G437" s="158" t="s">
        <v>1258</v>
      </c>
      <c r="H437" s="154" t="s">
        <v>2372</v>
      </c>
      <c r="I437" s="149" t="s">
        <v>972</v>
      </c>
    </row>
    <row r="438" spans="1:9" ht="78" customHeight="1">
      <c r="A438" s="157">
        <v>439</v>
      </c>
      <c r="B438" s="152">
        <v>45818</v>
      </c>
      <c r="C438" s="152">
        <v>45818</v>
      </c>
      <c r="D438" s="210" t="s">
        <v>1255</v>
      </c>
      <c r="E438" s="252" t="s">
        <v>1256</v>
      </c>
      <c r="F438" s="162" t="s">
        <v>1257</v>
      </c>
      <c r="G438" s="158" t="s">
        <v>1258</v>
      </c>
      <c r="I438" s="149" t="s">
        <v>947</v>
      </c>
    </row>
    <row r="439" spans="1:9" ht="78" customHeight="1">
      <c r="A439" s="157">
        <v>440</v>
      </c>
      <c r="B439" s="152">
        <v>45818</v>
      </c>
      <c r="C439" s="152">
        <v>45818</v>
      </c>
      <c r="D439" s="210" t="s">
        <v>1255</v>
      </c>
      <c r="E439" s="252" t="s">
        <v>1256</v>
      </c>
      <c r="F439" s="162" t="s">
        <v>1257</v>
      </c>
      <c r="G439" s="158" t="s">
        <v>1258</v>
      </c>
      <c r="H439" s="154" t="s">
        <v>2405</v>
      </c>
      <c r="I439" s="149" t="s">
        <v>932</v>
      </c>
    </row>
    <row r="440" spans="1:9" ht="78" customHeight="1">
      <c r="A440" s="157">
        <v>441</v>
      </c>
      <c r="B440" s="152">
        <v>45818</v>
      </c>
      <c r="C440" s="152">
        <v>45819</v>
      </c>
      <c r="D440" s="210" t="s">
        <v>1345</v>
      </c>
      <c r="E440" s="252" t="s">
        <v>2406</v>
      </c>
      <c r="F440" s="180" t="s">
        <v>2407</v>
      </c>
      <c r="G440" s="158" t="s">
        <v>1258</v>
      </c>
      <c r="H440" s="156" t="s">
        <v>2408</v>
      </c>
      <c r="I440" s="149" t="s">
        <v>997</v>
      </c>
    </row>
    <row r="441" spans="1:9" ht="78" customHeight="1">
      <c r="A441" s="157">
        <v>442</v>
      </c>
      <c r="B441" s="152">
        <v>45819</v>
      </c>
      <c r="C441" s="152">
        <v>45819</v>
      </c>
      <c r="D441" s="210" t="s">
        <v>1255</v>
      </c>
      <c r="E441" s="252" t="s">
        <v>1256</v>
      </c>
      <c r="F441" s="162" t="s">
        <v>1257</v>
      </c>
      <c r="G441" s="158" t="s">
        <v>1258</v>
      </c>
      <c r="I441" s="149" t="s">
        <v>992</v>
      </c>
    </row>
    <row r="442" spans="1:9" ht="78" customHeight="1">
      <c r="A442" s="157">
        <v>443</v>
      </c>
      <c r="B442" s="152">
        <v>45819</v>
      </c>
      <c r="C442" s="152">
        <v>45819</v>
      </c>
      <c r="D442" s="210" t="s">
        <v>1255</v>
      </c>
      <c r="E442" s="252" t="s">
        <v>1256</v>
      </c>
      <c r="F442" s="162" t="s">
        <v>1257</v>
      </c>
      <c r="G442" s="158" t="s">
        <v>1258</v>
      </c>
      <c r="H442" s="154" t="s">
        <v>2409</v>
      </c>
      <c r="I442" s="149" t="s">
        <v>997</v>
      </c>
    </row>
    <row r="443" spans="1:9" ht="78" customHeight="1">
      <c r="A443" s="157">
        <v>444</v>
      </c>
      <c r="B443" s="152">
        <v>45819</v>
      </c>
      <c r="C443" s="152">
        <v>45819</v>
      </c>
      <c r="D443" s="210" t="s">
        <v>1255</v>
      </c>
      <c r="E443" s="252" t="s">
        <v>1256</v>
      </c>
      <c r="F443" s="162" t="s">
        <v>1257</v>
      </c>
      <c r="G443" s="158" t="s">
        <v>1258</v>
      </c>
      <c r="I443" s="149" t="s">
        <v>987</v>
      </c>
    </row>
    <row r="444" spans="1:9" ht="78" customHeight="1">
      <c r="A444" s="157">
        <v>445</v>
      </c>
      <c r="B444" s="152">
        <v>45819</v>
      </c>
      <c r="C444" s="152">
        <v>45820</v>
      </c>
      <c r="D444" s="210" t="s">
        <v>1345</v>
      </c>
      <c r="E444" s="252" t="s">
        <v>2410</v>
      </c>
      <c r="F444" s="244" t="s">
        <v>2411</v>
      </c>
      <c r="G444" s="158" t="s">
        <v>1258</v>
      </c>
      <c r="H444" s="154" t="s">
        <v>2412</v>
      </c>
      <c r="I444" s="149" t="s">
        <v>1012</v>
      </c>
    </row>
    <row r="445" spans="1:9" ht="78" customHeight="1">
      <c r="A445" s="157">
        <v>446</v>
      </c>
      <c r="B445" s="152">
        <v>45820</v>
      </c>
      <c r="C445" s="152">
        <v>45820</v>
      </c>
      <c r="D445" s="210" t="s">
        <v>1345</v>
      </c>
      <c r="E445" s="252" t="s">
        <v>1954</v>
      </c>
      <c r="F445" s="244" t="s">
        <v>2413</v>
      </c>
      <c r="G445" s="158" t="s">
        <v>1258</v>
      </c>
      <c r="H445" s="154" t="s">
        <v>2414</v>
      </c>
      <c r="I445" s="149" t="s">
        <v>1017</v>
      </c>
    </row>
    <row r="446" spans="1:9" ht="78" customHeight="1">
      <c r="A446" s="157">
        <v>447</v>
      </c>
      <c r="B446" s="152">
        <v>45820</v>
      </c>
      <c r="C446" s="152"/>
      <c r="D446" s="210" t="s">
        <v>1321</v>
      </c>
      <c r="E446" s="280" t="s">
        <v>2415</v>
      </c>
      <c r="F446" s="154" t="s">
        <v>2416</v>
      </c>
      <c r="G446" s="364" t="s">
        <v>2281</v>
      </c>
      <c r="I446" s="149" t="s">
        <v>1333</v>
      </c>
    </row>
    <row r="447" spans="1:9" ht="78" customHeight="1">
      <c r="A447" s="157">
        <v>448</v>
      </c>
      <c r="B447" s="152">
        <v>45820</v>
      </c>
      <c r="C447" s="152">
        <v>45820</v>
      </c>
      <c r="D447" s="210" t="s">
        <v>1281</v>
      </c>
      <c r="E447" s="280" t="s">
        <v>1361</v>
      </c>
      <c r="F447" s="156" t="s">
        <v>2417</v>
      </c>
      <c r="G447" s="158" t="s">
        <v>1258</v>
      </c>
      <c r="H447" s="154" t="s">
        <v>1993</v>
      </c>
      <c r="I447" s="149" t="s">
        <v>942</v>
      </c>
    </row>
    <row r="448" spans="1:9" ht="78" customHeight="1">
      <c r="A448" s="157">
        <v>449</v>
      </c>
      <c r="B448" s="152">
        <v>45820</v>
      </c>
      <c r="C448" s="152">
        <v>45820</v>
      </c>
      <c r="D448" s="210" t="s">
        <v>1281</v>
      </c>
      <c r="E448" s="280" t="s">
        <v>1361</v>
      </c>
      <c r="F448" s="156" t="s">
        <v>2418</v>
      </c>
      <c r="G448" s="158" t="s">
        <v>1258</v>
      </c>
      <c r="H448" s="154" t="s">
        <v>2419</v>
      </c>
      <c r="I448" s="149" t="s">
        <v>1002</v>
      </c>
    </row>
    <row r="449" spans="1:9" ht="78" customHeight="1">
      <c r="A449" s="157">
        <v>450</v>
      </c>
      <c r="B449" s="152">
        <v>45820</v>
      </c>
      <c r="C449" s="152">
        <v>45820</v>
      </c>
      <c r="D449" s="210" t="s">
        <v>1264</v>
      </c>
      <c r="E449" s="280" t="s">
        <v>2420</v>
      </c>
      <c r="F449" s="154" t="s">
        <v>2421</v>
      </c>
      <c r="G449" s="158" t="s">
        <v>1258</v>
      </c>
      <c r="H449" s="154" t="s">
        <v>2422</v>
      </c>
      <c r="I449" s="149" t="s">
        <v>947</v>
      </c>
    </row>
    <row r="450" spans="1:9" ht="78" customHeight="1">
      <c r="A450" s="157">
        <v>451</v>
      </c>
      <c r="B450" s="152">
        <v>45820</v>
      </c>
      <c r="C450" s="152">
        <v>45820</v>
      </c>
      <c r="D450" s="210" t="s">
        <v>1281</v>
      </c>
      <c r="E450" s="280" t="s">
        <v>2340</v>
      </c>
      <c r="F450" s="156" t="s">
        <v>2425</v>
      </c>
      <c r="G450" s="158" t="s">
        <v>1258</v>
      </c>
      <c r="H450" s="154" t="s">
        <v>2426</v>
      </c>
      <c r="I450" s="149" t="s">
        <v>1782</v>
      </c>
    </row>
    <row r="451" spans="1:9" ht="78" customHeight="1">
      <c r="A451" s="157">
        <v>452</v>
      </c>
      <c r="B451" s="152">
        <v>45820</v>
      </c>
      <c r="C451" s="152">
        <v>45820</v>
      </c>
      <c r="D451" s="210" t="s">
        <v>1345</v>
      </c>
      <c r="E451" s="280" t="s">
        <v>1954</v>
      </c>
      <c r="F451" s="156" t="s">
        <v>2427</v>
      </c>
      <c r="G451" s="158" t="s">
        <v>1258</v>
      </c>
      <c r="H451" s="154" t="s">
        <v>2428</v>
      </c>
      <c r="I451" s="149" t="s">
        <v>1002</v>
      </c>
    </row>
    <row r="452" spans="1:9" ht="78" customHeight="1">
      <c r="A452" s="157">
        <v>453</v>
      </c>
      <c r="B452" s="152">
        <v>45820</v>
      </c>
      <c r="C452" s="152"/>
      <c r="D452" s="210" t="s">
        <v>1321</v>
      </c>
      <c r="E452" s="149" t="s">
        <v>2443</v>
      </c>
      <c r="F452" s="154" t="s">
        <v>2444</v>
      </c>
      <c r="G452" s="364" t="s">
        <v>2281</v>
      </c>
      <c r="I452" s="149" t="s">
        <v>1333</v>
      </c>
    </row>
    <row r="453" spans="1:9" ht="78" customHeight="1">
      <c r="A453" s="157">
        <v>454</v>
      </c>
      <c r="B453" s="152">
        <v>45821</v>
      </c>
      <c r="C453" s="152">
        <v>45821</v>
      </c>
      <c r="D453" s="210" t="s">
        <v>1281</v>
      </c>
      <c r="E453" s="280" t="s">
        <v>2445</v>
      </c>
      <c r="F453" s="154" t="s">
        <v>2446</v>
      </c>
      <c r="G453" s="158" t="s">
        <v>1258</v>
      </c>
      <c r="H453" s="154" t="s">
        <v>2447</v>
      </c>
      <c r="I453" s="149" t="s">
        <v>967</v>
      </c>
    </row>
    <row r="454" spans="1:9" ht="78" customHeight="1">
      <c r="A454" s="157">
        <v>455</v>
      </c>
      <c r="B454" s="152">
        <v>45821</v>
      </c>
      <c r="C454" s="152">
        <v>45821</v>
      </c>
      <c r="D454" s="210" t="s">
        <v>1255</v>
      </c>
      <c r="E454" s="252" t="s">
        <v>1256</v>
      </c>
      <c r="F454" s="180" t="s">
        <v>2457</v>
      </c>
      <c r="G454" s="158" t="s">
        <v>1258</v>
      </c>
      <c r="H454" s="156" t="s">
        <v>2458</v>
      </c>
      <c r="I454" s="149" t="s">
        <v>972</v>
      </c>
    </row>
    <row r="455" spans="1:9" ht="78" customHeight="1">
      <c r="A455" s="157">
        <v>456</v>
      </c>
      <c r="B455" s="152">
        <v>45821</v>
      </c>
      <c r="C455" s="152">
        <v>45821</v>
      </c>
      <c r="D455" s="210" t="s">
        <v>1255</v>
      </c>
      <c r="E455" s="252" t="s">
        <v>1256</v>
      </c>
      <c r="F455" s="162" t="s">
        <v>1257</v>
      </c>
      <c r="G455" s="158" t="s">
        <v>1258</v>
      </c>
      <c r="I455" s="149" t="s">
        <v>952</v>
      </c>
    </row>
    <row r="456" spans="1:9" ht="78" customHeight="1">
      <c r="A456" s="157">
        <v>457</v>
      </c>
      <c r="B456" s="152">
        <v>45821</v>
      </c>
      <c r="C456" s="152">
        <v>45821</v>
      </c>
      <c r="D456" s="210" t="s">
        <v>1255</v>
      </c>
      <c r="E456" s="252" t="s">
        <v>1256</v>
      </c>
      <c r="F456" s="162" t="s">
        <v>1257</v>
      </c>
      <c r="G456" s="158" t="s">
        <v>1258</v>
      </c>
      <c r="I456" s="149" t="s">
        <v>957</v>
      </c>
    </row>
    <row r="457" spans="1:9" ht="78" customHeight="1">
      <c r="B457" s="152"/>
      <c r="C457" s="152"/>
      <c r="D457" s="210"/>
      <c r="E457" s="166"/>
      <c r="F457" s="222"/>
      <c r="G457" s="161"/>
    </row>
    <row r="458" spans="1:9" ht="78" customHeight="1">
      <c r="B458" s="152"/>
      <c r="C458" s="152"/>
      <c r="D458" s="210"/>
      <c r="E458" s="166"/>
      <c r="F458" s="222"/>
      <c r="G458" s="161"/>
    </row>
    <row r="459" spans="1:9" ht="78" customHeight="1">
      <c r="B459" s="152"/>
      <c r="C459" s="152"/>
      <c r="D459" s="210"/>
      <c r="E459" s="166"/>
      <c r="F459" s="222"/>
      <c r="G459" s="161"/>
    </row>
    <row r="460" spans="1:9" ht="78" customHeight="1">
      <c r="B460" s="152"/>
      <c r="C460" s="152"/>
      <c r="D460" s="210"/>
      <c r="E460" s="166"/>
      <c r="F460" s="222"/>
      <c r="G460" s="161"/>
    </row>
    <row r="461" spans="1:9" ht="78" customHeight="1">
      <c r="B461" s="152"/>
      <c r="C461" s="152"/>
      <c r="D461" s="210"/>
      <c r="E461" s="166"/>
      <c r="F461" s="222"/>
      <c r="G461" s="161"/>
    </row>
    <row r="462" spans="1:9" ht="78" customHeight="1">
      <c r="B462" s="152"/>
      <c r="C462" s="152"/>
      <c r="D462" s="210"/>
      <c r="G462" s="161"/>
      <c r="H462" s="154"/>
    </row>
    <row r="463" spans="1:9" ht="78" customHeight="1">
      <c r="B463" s="152"/>
      <c r="C463" s="152"/>
      <c r="D463" s="210"/>
      <c r="F463" s="154"/>
      <c r="G463" s="161"/>
    </row>
    <row r="464" spans="1:9" ht="78" customHeight="1">
      <c r="B464" s="152"/>
      <c r="C464" s="152"/>
      <c r="D464" s="210"/>
      <c r="G464" s="161"/>
      <c r="H464" s="154"/>
    </row>
    <row r="465" spans="2:8" ht="78" customHeight="1">
      <c r="B465" s="152"/>
      <c r="C465" s="152"/>
      <c r="D465" s="210"/>
      <c r="E465" s="166"/>
      <c r="F465" s="222"/>
      <c r="G465" s="161"/>
    </row>
    <row r="466" spans="2:8" ht="78" customHeight="1">
      <c r="B466" s="152"/>
      <c r="C466" s="152"/>
      <c r="D466" s="210"/>
      <c r="F466" s="154"/>
      <c r="G466" s="161"/>
      <c r="H466" s="154"/>
    </row>
    <row r="467" spans="2:8" ht="78" customHeight="1">
      <c r="B467" s="152"/>
      <c r="C467" s="152"/>
      <c r="D467" s="210"/>
      <c r="F467" s="154"/>
      <c r="G467" s="161"/>
    </row>
    <row r="468" spans="2:8" ht="78" customHeight="1">
      <c r="B468" s="152"/>
      <c r="C468" s="152"/>
      <c r="D468" s="210"/>
      <c r="E468" s="166"/>
      <c r="F468" s="222"/>
      <c r="G468" s="161"/>
    </row>
    <row r="469" spans="2:8" ht="78" customHeight="1">
      <c r="B469" s="152"/>
      <c r="C469" s="152"/>
      <c r="D469" s="210"/>
      <c r="E469" s="166"/>
      <c r="F469" s="222"/>
      <c r="G469" s="161"/>
    </row>
    <row r="470" spans="2:8" ht="78" customHeight="1">
      <c r="B470" s="152"/>
      <c r="C470" s="152"/>
      <c r="D470" s="210"/>
      <c r="E470" s="166"/>
      <c r="F470" s="244"/>
      <c r="G470" s="161"/>
      <c r="H470" s="154"/>
    </row>
    <row r="471" spans="2:8" ht="78" customHeight="1">
      <c r="B471" s="152"/>
      <c r="C471" s="152"/>
      <c r="D471" s="210"/>
      <c r="F471" s="154"/>
      <c r="G471" s="161"/>
    </row>
    <row r="472" spans="2:8" ht="78" customHeight="1">
      <c r="B472" s="152"/>
      <c r="C472" s="153"/>
      <c r="D472" s="210"/>
      <c r="F472" s="154"/>
      <c r="G472" s="161"/>
      <c r="H472" s="154"/>
    </row>
    <row r="473" spans="2:8" ht="78" customHeight="1">
      <c r="B473" s="152"/>
      <c r="C473" s="152"/>
      <c r="D473" s="210"/>
      <c r="E473" s="169"/>
      <c r="F473" s="163"/>
      <c r="G473" s="161"/>
      <c r="H473" s="236"/>
    </row>
    <row r="474" spans="2:8" ht="78" customHeight="1">
      <c r="B474" s="152"/>
      <c r="C474" s="152"/>
      <c r="D474" s="261"/>
      <c r="E474" s="164"/>
      <c r="F474" s="277"/>
      <c r="G474" s="158"/>
    </row>
    <row r="475" spans="2:8" ht="78" customHeight="1">
      <c r="B475" s="152"/>
      <c r="C475" s="152"/>
      <c r="D475" s="210"/>
      <c r="E475" s="158"/>
      <c r="G475" s="161"/>
    </row>
    <row r="476" spans="2:8" ht="78" customHeight="1">
      <c r="B476" s="152"/>
      <c r="C476" s="152"/>
      <c r="D476" s="210"/>
      <c r="E476" s="158"/>
      <c r="F476" s="154"/>
      <c r="G476" s="161"/>
    </row>
    <row r="477" spans="2:8" ht="78" customHeight="1">
      <c r="B477" s="152"/>
      <c r="C477" s="153"/>
      <c r="D477" s="256"/>
      <c r="F477" s="154"/>
      <c r="G477" s="161"/>
    </row>
    <row r="478" spans="2:8" ht="78" customHeight="1">
      <c r="B478" s="152"/>
      <c r="C478" s="227"/>
      <c r="D478" s="256"/>
      <c r="E478" s="181"/>
      <c r="G478" s="161"/>
      <c r="H478" s="154"/>
    </row>
    <row r="479" spans="2:8" ht="78" customHeight="1">
      <c r="B479" s="152"/>
      <c r="C479" s="254"/>
      <c r="D479" s="210"/>
      <c r="E479" s="161"/>
      <c r="F479" s="154"/>
      <c r="G479" s="161"/>
    </row>
    <row r="480" spans="2:8" ht="78" customHeight="1">
      <c r="B480" s="152"/>
      <c r="C480" s="228"/>
      <c r="D480" s="212"/>
      <c r="E480" s="158"/>
      <c r="F480" s="154"/>
      <c r="G480" s="161"/>
      <c r="H480" s="154"/>
    </row>
    <row r="481" spans="2:8" ht="78" customHeight="1">
      <c r="B481" s="152"/>
      <c r="C481" s="254"/>
      <c r="D481" s="210"/>
      <c r="E481" s="161"/>
      <c r="G481" s="161"/>
      <c r="H481" s="154"/>
    </row>
    <row r="482" spans="2:8" ht="78" customHeight="1">
      <c r="B482" s="152"/>
      <c r="C482" s="227"/>
      <c r="D482" s="256"/>
      <c r="E482" s="181"/>
      <c r="G482" s="161"/>
      <c r="H482" s="154"/>
    </row>
    <row r="483" spans="2:8" ht="78" customHeight="1">
      <c r="B483" s="152"/>
      <c r="C483" s="228"/>
      <c r="D483" s="210"/>
      <c r="E483" s="158"/>
      <c r="F483" s="154"/>
      <c r="G483" s="161"/>
      <c r="H483" s="154"/>
    </row>
    <row r="484" spans="2:8" ht="78" customHeight="1">
      <c r="B484" s="152"/>
      <c r="C484" s="152"/>
      <c r="D484" s="210"/>
      <c r="E484" s="161"/>
      <c r="F484" s="154"/>
      <c r="G484" s="161"/>
    </row>
    <row r="485" spans="2:8" ht="78" customHeight="1">
      <c r="B485" s="152"/>
      <c r="C485" s="152"/>
      <c r="D485" s="212"/>
      <c r="F485" s="154"/>
      <c r="G485" s="161"/>
    </row>
    <row r="486" spans="2:8" ht="78" customHeight="1">
      <c r="B486" s="152"/>
      <c r="C486" s="153"/>
      <c r="D486" s="210"/>
      <c r="F486" s="154"/>
      <c r="G486" s="161"/>
      <c r="H486" s="154"/>
    </row>
    <row r="487" spans="2:8" ht="78" customHeight="1">
      <c r="B487" s="152"/>
      <c r="C487" s="152"/>
      <c r="D487" s="210"/>
      <c r="F487" s="154"/>
      <c r="G487" s="161"/>
    </row>
    <row r="488" spans="2:8" ht="78" customHeight="1">
      <c r="B488" s="152"/>
      <c r="C488" s="152"/>
      <c r="D488" s="210"/>
      <c r="F488" s="154"/>
      <c r="G488" s="161"/>
    </row>
    <row r="489" spans="2:8" ht="78" customHeight="1">
      <c r="B489" s="152"/>
      <c r="C489" s="152"/>
      <c r="D489" s="210"/>
      <c r="F489" s="154"/>
      <c r="G489" s="161"/>
    </row>
    <row r="490" spans="2:8" ht="78" customHeight="1">
      <c r="B490" s="152"/>
      <c r="C490" s="152"/>
      <c r="D490" s="210"/>
      <c r="F490" s="154"/>
      <c r="G490" s="161"/>
    </row>
    <row r="491" spans="2:8" ht="78" customHeight="1">
      <c r="B491" s="152"/>
      <c r="C491" s="152"/>
      <c r="D491" s="210"/>
      <c r="F491" s="154"/>
      <c r="G491" s="161"/>
    </row>
    <row r="492" spans="2:8" ht="78" customHeight="1">
      <c r="B492" s="152"/>
      <c r="C492" s="153"/>
      <c r="D492" s="256"/>
      <c r="F492" s="154"/>
    </row>
    <row r="493" spans="2:8" ht="78" customHeight="1">
      <c r="B493" s="152"/>
      <c r="C493" s="152"/>
      <c r="D493" s="210"/>
      <c r="E493" s="161"/>
      <c r="F493" s="278"/>
      <c r="H493" s="154"/>
    </row>
    <row r="494" spans="2:8" ht="78" customHeight="1">
      <c r="B494" s="152"/>
      <c r="C494" s="152"/>
      <c r="D494" s="210"/>
      <c r="F494" s="154"/>
      <c r="H494" s="154"/>
    </row>
    <row r="495" spans="2:8" ht="78" customHeight="1">
      <c r="B495" s="152"/>
      <c r="C495" s="152"/>
      <c r="D495" s="210"/>
      <c r="F495" s="154"/>
    </row>
    <row r="496" spans="2:8" ht="78" customHeight="1">
      <c r="B496" s="152"/>
      <c r="C496" s="153"/>
      <c r="D496" s="210"/>
      <c r="F496" s="154"/>
    </row>
    <row r="497" spans="2:8" ht="78" customHeight="1">
      <c r="B497" s="152"/>
      <c r="C497" s="153"/>
      <c r="D497" s="212"/>
      <c r="F497" s="154"/>
      <c r="H497" s="154"/>
    </row>
    <row r="498" spans="2:8" ht="78" customHeight="1">
      <c r="B498" s="152"/>
      <c r="C498" s="152"/>
      <c r="D498" s="212"/>
      <c r="F498" s="154"/>
      <c r="H498" s="154"/>
    </row>
    <row r="499" spans="2:8" ht="78" customHeight="1">
      <c r="B499" s="152"/>
      <c r="C499" s="152"/>
      <c r="D499" s="212"/>
      <c r="F499" s="154"/>
      <c r="H499" s="154"/>
    </row>
    <row r="500" spans="2:8" ht="78" customHeight="1">
      <c r="B500" s="152"/>
      <c r="C500" s="152"/>
      <c r="D500" s="210"/>
      <c r="H500" s="154"/>
    </row>
    <row r="501" spans="2:8" ht="78" customHeight="1">
      <c r="B501" s="152"/>
      <c r="C501" s="152"/>
      <c r="D501" s="210"/>
      <c r="F501" s="154"/>
    </row>
    <row r="502" spans="2:8" ht="78" customHeight="1">
      <c r="B502" s="152"/>
      <c r="C502" s="153"/>
      <c r="D502" s="210"/>
    </row>
    <row r="503" spans="2:8" ht="78" customHeight="1">
      <c r="B503" s="152"/>
      <c r="C503" s="153"/>
      <c r="D503" s="210"/>
      <c r="F503" s="154"/>
    </row>
    <row r="504" spans="2:8" ht="78" customHeight="1">
      <c r="B504" s="152"/>
      <c r="C504" s="153"/>
      <c r="D504" s="210"/>
      <c r="F504" s="154"/>
    </row>
    <row r="505" spans="2:8" ht="78" customHeight="1">
      <c r="B505" s="152"/>
      <c r="C505" s="153"/>
      <c r="D505" s="210"/>
      <c r="F505" s="154"/>
    </row>
    <row r="506" spans="2:8" ht="78" customHeight="1">
      <c r="B506" s="152"/>
      <c r="C506" s="152"/>
      <c r="D506" s="210"/>
      <c r="H506" s="154"/>
    </row>
    <row r="507" spans="2:8" ht="78" customHeight="1">
      <c r="B507" s="152"/>
      <c r="C507" s="153"/>
      <c r="D507" s="261"/>
      <c r="F507" s="154"/>
      <c r="H507" s="154"/>
    </row>
    <row r="508" spans="2:8" ht="78" customHeight="1">
      <c r="B508" s="152"/>
      <c r="C508" s="275"/>
      <c r="D508" s="210"/>
      <c r="E508" s="161"/>
      <c r="F508" s="154"/>
      <c r="H508" s="154"/>
    </row>
    <row r="509" spans="2:8" ht="78" customHeight="1">
      <c r="B509" s="152"/>
      <c r="C509" s="152"/>
      <c r="D509" s="212"/>
      <c r="E509" s="161"/>
      <c r="F509" s="154"/>
      <c r="H509" s="154"/>
    </row>
    <row r="510" spans="2:8" ht="78" customHeight="1">
      <c r="B510" s="152"/>
      <c r="C510" s="152"/>
      <c r="D510" s="210"/>
      <c r="E510" s="166"/>
      <c r="F510" s="222"/>
      <c r="G510" s="161"/>
    </row>
    <row r="511" spans="2:8" ht="78" customHeight="1">
      <c r="B511" s="152"/>
      <c r="C511" s="152"/>
      <c r="D511" s="210"/>
      <c r="E511" s="166"/>
      <c r="F511" s="222"/>
      <c r="G511" s="161"/>
      <c r="H511" s="154"/>
    </row>
    <row r="512" spans="2:8" ht="78" customHeight="1">
      <c r="B512" s="152"/>
      <c r="C512" s="152"/>
      <c r="D512" s="210"/>
      <c r="E512" s="166"/>
      <c r="F512" s="222"/>
      <c r="G512" s="161"/>
    </row>
    <row r="513" spans="2:8" ht="78" customHeight="1">
      <c r="B513" s="152"/>
      <c r="C513" s="152"/>
      <c r="D513" s="210"/>
      <c r="E513" s="166"/>
      <c r="F513" s="222"/>
      <c r="G513" s="161"/>
    </row>
    <row r="514" spans="2:8" ht="78" customHeight="1">
      <c r="B514" s="152"/>
      <c r="C514" s="153"/>
      <c r="D514" s="210"/>
      <c r="F514" s="154"/>
      <c r="G514" s="161"/>
    </row>
    <row r="515" spans="2:8" ht="78" customHeight="1">
      <c r="B515" s="152"/>
      <c r="C515" s="152"/>
      <c r="D515" s="210"/>
      <c r="E515" s="166"/>
      <c r="F515" s="222"/>
      <c r="G515" s="161"/>
    </row>
    <row r="516" spans="2:8" ht="78" customHeight="1">
      <c r="B516" s="152"/>
      <c r="C516" s="152"/>
      <c r="D516" s="210"/>
      <c r="E516" s="166"/>
      <c r="F516" s="222"/>
      <c r="G516" s="161"/>
    </row>
    <row r="517" spans="2:8" ht="78" customHeight="1">
      <c r="B517" s="152"/>
      <c r="C517" s="152"/>
      <c r="D517" s="210"/>
      <c r="G517" s="161"/>
    </row>
    <row r="518" spans="2:8" ht="78" customHeight="1">
      <c r="B518" s="152"/>
      <c r="C518" s="152"/>
      <c r="D518" s="210"/>
      <c r="G518" s="161"/>
      <c r="H518" s="154"/>
    </row>
    <row r="519" spans="2:8" ht="78" customHeight="1">
      <c r="B519" s="152"/>
      <c r="C519" s="152"/>
      <c r="D519" s="210"/>
      <c r="E519" s="166"/>
      <c r="F519" s="222"/>
      <c r="G519" s="161"/>
    </row>
    <row r="520" spans="2:8" ht="78" customHeight="1">
      <c r="B520" s="152"/>
      <c r="C520" s="152"/>
      <c r="D520" s="210"/>
      <c r="E520" s="166"/>
      <c r="F520" s="222"/>
      <c r="G520" s="161"/>
    </row>
    <row r="521" spans="2:8" ht="78" customHeight="1">
      <c r="B521" s="152"/>
      <c r="C521" s="153"/>
      <c r="D521" s="210"/>
      <c r="F521" s="154"/>
      <c r="G521" s="161"/>
    </row>
    <row r="522" spans="2:8" ht="78" customHeight="1">
      <c r="B522" s="152"/>
      <c r="C522" s="152"/>
      <c r="D522" s="212"/>
      <c r="F522" s="154"/>
      <c r="G522" s="161"/>
      <c r="H522" s="154"/>
    </row>
    <row r="523" spans="2:8" ht="78" customHeight="1">
      <c r="B523" s="152"/>
      <c r="C523" s="152"/>
      <c r="D523" s="210"/>
      <c r="G523" s="161"/>
    </row>
    <row r="524" spans="2:8" ht="78" customHeight="1">
      <c r="B524" s="152"/>
      <c r="C524" s="152"/>
      <c r="D524" s="210"/>
      <c r="E524" s="166"/>
      <c r="F524" s="222"/>
      <c r="G524" s="161"/>
    </row>
    <row r="525" spans="2:8" ht="78" customHeight="1">
      <c r="B525" s="152"/>
      <c r="C525" s="152"/>
      <c r="D525" s="210"/>
      <c r="E525" s="166"/>
      <c r="F525" s="222"/>
      <c r="G525" s="161"/>
    </row>
    <row r="526" spans="2:8" ht="78" customHeight="1">
      <c r="B526" s="152"/>
      <c r="C526" s="152"/>
      <c r="D526" s="210"/>
      <c r="F526" s="154"/>
      <c r="G526" s="161"/>
    </row>
    <row r="527" spans="2:8" ht="78" customHeight="1">
      <c r="B527" s="152"/>
      <c r="C527" s="152"/>
      <c r="D527" s="256"/>
      <c r="F527" s="154"/>
      <c r="G527" s="161"/>
    </row>
    <row r="528" spans="2:8" ht="78" customHeight="1">
      <c r="B528" s="152"/>
      <c r="C528" s="254"/>
      <c r="D528" s="210"/>
      <c r="E528" s="161"/>
      <c r="G528" s="161"/>
    </row>
    <row r="529" spans="2:8" ht="78" customHeight="1">
      <c r="B529" s="152"/>
      <c r="C529" s="152"/>
      <c r="D529" s="210"/>
      <c r="E529" s="166"/>
      <c r="F529" s="222"/>
      <c r="G529" s="161"/>
    </row>
    <row r="530" spans="2:8" ht="78" customHeight="1">
      <c r="B530" s="152"/>
      <c r="C530" s="152"/>
      <c r="D530" s="210"/>
      <c r="E530" s="166"/>
      <c r="F530" s="222"/>
      <c r="G530" s="161"/>
    </row>
    <row r="531" spans="2:8" ht="78" customHeight="1">
      <c r="B531" s="152"/>
      <c r="C531" s="152"/>
      <c r="D531" s="210"/>
      <c r="F531" s="154"/>
      <c r="G531" s="161"/>
      <c r="H531" s="154"/>
    </row>
    <row r="532" spans="2:8" ht="78" customHeight="1">
      <c r="B532" s="152"/>
      <c r="C532" s="152"/>
      <c r="D532" s="210"/>
      <c r="E532" s="161"/>
      <c r="F532" s="154"/>
      <c r="G532" s="161"/>
    </row>
    <row r="533" spans="2:8" ht="78" customHeight="1">
      <c r="B533" s="152"/>
      <c r="C533" s="152"/>
      <c r="D533" s="256"/>
      <c r="E533" s="155"/>
      <c r="F533" s="222"/>
      <c r="G533" s="161"/>
    </row>
    <row r="534" spans="2:8" ht="78" customHeight="1">
      <c r="B534" s="152"/>
      <c r="C534" s="254"/>
      <c r="D534" s="210"/>
      <c r="E534" s="166"/>
      <c r="F534" s="222"/>
      <c r="G534" s="161"/>
    </row>
    <row r="535" spans="2:8" ht="78" customHeight="1">
      <c r="B535" s="152"/>
      <c r="C535" s="152"/>
      <c r="D535" s="210"/>
      <c r="E535" s="161"/>
      <c r="G535" s="161"/>
    </row>
    <row r="536" spans="2:8" ht="78" customHeight="1">
      <c r="B536" s="152"/>
      <c r="C536" s="152"/>
      <c r="D536" s="210"/>
      <c r="G536" s="161"/>
      <c r="H536" s="154"/>
    </row>
    <row r="537" spans="2:8" ht="78" customHeight="1">
      <c r="B537" s="152"/>
      <c r="C537" s="152"/>
      <c r="D537" s="210"/>
      <c r="E537" s="166"/>
      <c r="F537" s="222"/>
      <c r="G537" s="161"/>
    </row>
    <row r="538" spans="2:8" ht="78" customHeight="1">
      <c r="B538" s="152"/>
      <c r="C538" s="152"/>
      <c r="D538" s="210"/>
      <c r="E538" s="166"/>
      <c r="F538" s="222"/>
      <c r="G538" s="161"/>
    </row>
    <row r="539" spans="2:8" ht="78" customHeight="1">
      <c r="B539" s="152"/>
      <c r="C539" s="152"/>
      <c r="D539" s="256"/>
      <c r="F539" s="154"/>
      <c r="G539" s="161"/>
    </row>
    <row r="540" spans="2:8" ht="78" customHeight="1">
      <c r="B540" s="152"/>
      <c r="C540" s="152"/>
      <c r="D540" s="210"/>
      <c r="G540" s="161"/>
    </row>
    <row r="541" spans="2:8" ht="78" customHeight="1">
      <c r="B541" s="152"/>
      <c r="C541" s="152"/>
      <c r="D541" s="256"/>
      <c r="G541" s="161"/>
    </row>
    <row r="542" spans="2:8" ht="78" customHeight="1">
      <c r="B542" s="152"/>
      <c r="C542" s="275"/>
      <c r="D542" s="210"/>
      <c r="E542" s="161"/>
      <c r="F542" s="154"/>
      <c r="G542" s="161"/>
    </row>
    <row r="543" spans="2:8" ht="78" customHeight="1">
      <c r="B543" s="275"/>
      <c r="C543" s="275"/>
      <c r="D543" s="210"/>
      <c r="E543" s="166"/>
      <c r="F543" s="222"/>
      <c r="G543" s="161"/>
    </row>
    <row r="544" spans="2:8" ht="78" customHeight="1">
      <c r="B544" s="275"/>
      <c r="C544" s="275"/>
      <c r="D544" s="210"/>
      <c r="E544" s="166"/>
      <c r="F544" s="222"/>
      <c r="G544" s="161"/>
    </row>
    <row r="545" spans="2:8" ht="78" customHeight="1">
      <c r="B545" s="275"/>
      <c r="C545" s="152"/>
      <c r="D545" s="210"/>
      <c r="F545" s="154"/>
      <c r="G545" s="161"/>
    </row>
    <row r="546" spans="2:8" ht="78" customHeight="1">
      <c r="B546" s="275"/>
      <c r="C546" s="152"/>
      <c r="D546" s="210"/>
      <c r="F546" s="154"/>
      <c r="G546" s="161"/>
    </row>
    <row r="547" spans="2:8" ht="78" customHeight="1">
      <c r="B547" s="152"/>
      <c r="C547" s="153"/>
      <c r="D547" s="210"/>
      <c r="F547" s="154"/>
      <c r="G547" s="161"/>
    </row>
    <row r="548" spans="2:8" ht="78" customHeight="1">
      <c r="B548" s="152"/>
      <c r="C548" s="152"/>
      <c r="D548" s="210"/>
      <c r="F548" s="154"/>
      <c r="G548" s="161"/>
      <c r="H548" s="154"/>
    </row>
    <row r="549" spans="2:8" ht="78" customHeight="1">
      <c r="B549" s="152"/>
      <c r="C549" s="152"/>
      <c r="D549" s="210"/>
      <c r="F549" s="154"/>
      <c r="G549" s="161"/>
      <c r="H549" s="154"/>
    </row>
    <row r="550" spans="2:8" ht="78" customHeight="1">
      <c r="B550" s="152"/>
      <c r="C550" s="152"/>
      <c r="D550" s="210"/>
      <c r="E550" s="166"/>
      <c r="F550" s="222"/>
      <c r="G550" s="161"/>
    </row>
    <row r="551" spans="2:8" ht="78" customHeight="1">
      <c r="B551" s="152"/>
      <c r="C551" s="152"/>
      <c r="D551" s="261"/>
      <c r="G551" s="161"/>
    </row>
    <row r="552" spans="2:8" ht="78" customHeight="1">
      <c r="B552" s="152"/>
      <c r="C552" s="152"/>
      <c r="D552" s="210"/>
      <c r="F552" s="154"/>
      <c r="G552" s="279"/>
      <c r="H552" s="154"/>
    </row>
    <row r="553" spans="2:8" ht="78" customHeight="1">
      <c r="B553" s="152"/>
      <c r="C553" s="152"/>
      <c r="D553" s="261"/>
      <c r="F553" s="154"/>
      <c r="G553" s="279"/>
      <c r="H553" s="154"/>
    </row>
    <row r="554" spans="2:8" ht="78" customHeight="1">
      <c r="B554" s="152"/>
      <c r="C554" s="152"/>
      <c r="D554" s="210"/>
      <c r="G554" s="279"/>
      <c r="H554" s="154"/>
    </row>
    <row r="555" spans="2:8" ht="78" customHeight="1">
      <c r="B555" s="152"/>
      <c r="C555" s="153"/>
      <c r="D555" s="210"/>
      <c r="G555" s="279"/>
      <c r="H555" s="154"/>
    </row>
    <row r="556" spans="2:8" ht="78" customHeight="1">
      <c r="B556" s="152"/>
      <c r="C556" s="153"/>
      <c r="D556" s="210"/>
      <c r="F556" s="154"/>
      <c r="G556" s="279"/>
    </row>
    <row r="557" spans="2:8" ht="78" customHeight="1">
      <c r="B557" s="152"/>
      <c r="C557" s="153"/>
      <c r="D557" s="210"/>
      <c r="F557" s="154"/>
      <c r="G557" s="279"/>
    </row>
    <row r="558" spans="2:8" ht="78" customHeight="1">
      <c r="B558" s="152"/>
      <c r="C558" s="152"/>
      <c r="D558" s="210"/>
      <c r="F558" s="200"/>
      <c r="G558" s="279"/>
    </row>
    <row r="559" spans="2:8" ht="78" customHeight="1">
      <c r="B559" s="152"/>
      <c r="C559" s="153"/>
      <c r="D559" s="210"/>
      <c r="F559" s="154"/>
      <c r="G559" s="279"/>
    </row>
    <row r="560" spans="2:8" ht="78" customHeight="1">
      <c r="B560" s="152"/>
      <c r="C560" s="153"/>
      <c r="D560" s="210"/>
      <c r="F560" s="154"/>
      <c r="G560" s="279"/>
    </row>
    <row r="561" spans="2:9" ht="78" customHeight="1">
      <c r="B561" s="152"/>
      <c r="C561" s="153"/>
      <c r="D561" s="210"/>
      <c r="F561" s="154"/>
      <c r="G561" s="279"/>
    </row>
    <row r="562" spans="2:9" ht="78" customHeight="1">
      <c r="B562" s="152"/>
      <c r="C562" s="153"/>
      <c r="D562" s="210"/>
      <c r="F562" s="154"/>
      <c r="G562" s="279"/>
      <c r="H562" s="154"/>
    </row>
    <row r="563" spans="2:9" ht="78" customHeight="1">
      <c r="B563" s="152"/>
      <c r="C563" s="152"/>
      <c r="D563" s="210"/>
      <c r="F563" s="154"/>
      <c r="G563" s="279"/>
      <c r="H563" s="154"/>
    </row>
    <row r="564" spans="2:9" ht="78" customHeight="1">
      <c r="B564" s="152"/>
      <c r="C564" s="152"/>
      <c r="D564" s="261"/>
      <c r="G564" s="279"/>
      <c r="H564" s="154"/>
      <c r="I564" s="280"/>
    </row>
    <row r="565" spans="2:9" ht="78" customHeight="1">
      <c r="B565" s="152"/>
      <c r="C565" s="152"/>
      <c r="D565" s="210"/>
      <c r="E565" s="161"/>
      <c r="F565" s="154"/>
      <c r="G565" s="279"/>
      <c r="H565" s="154"/>
    </row>
    <row r="566" spans="2:9" ht="78" customHeight="1">
      <c r="B566" s="152"/>
      <c r="C566" s="153"/>
      <c r="D566" s="210"/>
      <c r="F566" s="154"/>
      <c r="G566" s="279"/>
    </row>
    <row r="567" spans="2:9" ht="78" customHeight="1">
      <c r="B567" s="153"/>
      <c r="C567" s="153"/>
      <c r="D567" s="210"/>
      <c r="F567" s="154"/>
      <c r="G567" s="279"/>
    </row>
    <row r="568" spans="2:9" ht="78" customHeight="1">
      <c r="B568" s="153"/>
      <c r="C568" s="153"/>
      <c r="D568" s="210"/>
      <c r="F568" s="154"/>
      <c r="G568" s="279"/>
    </row>
    <row r="569" spans="2:9" ht="78" customHeight="1">
      <c r="B569" s="153"/>
      <c r="C569" s="153"/>
      <c r="D569" s="210"/>
      <c r="F569" s="154"/>
      <c r="G569" s="279"/>
    </row>
    <row r="570" spans="2:9" ht="78" customHeight="1">
      <c r="B570" s="152"/>
      <c r="C570" s="153"/>
      <c r="D570" s="210"/>
      <c r="F570" s="154"/>
      <c r="G570" s="279"/>
    </row>
    <row r="571" spans="2:9" ht="78" customHeight="1">
      <c r="B571" s="152"/>
      <c r="C571" s="153"/>
      <c r="D571" s="210"/>
      <c r="F571" s="154"/>
      <c r="G571" s="279"/>
      <c r="H571" s="154"/>
    </row>
    <row r="572" spans="2:9" ht="78" customHeight="1">
      <c r="B572" s="152"/>
      <c r="C572" s="153"/>
      <c r="D572" s="210"/>
      <c r="F572" s="154"/>
      <c r="G572" s="279"/>
    </row>
    <row r="573" spans="2:9" ht="78" customHeight="1">
      <c r="B573" s="152"/>
      <c r="C573" s="153"/>
      <c r="D573" s="210"/>
      <c r="F573" s="154"/>
      <c r="G573" s="279"/>
      <c r="H573" s="154"/>
    </row>
    <row r="574" spans="2:9" ht="78" customHeight="1">
      <c r="B574" s="152"/>
      <c r="C574" s="152"/>
      <c r="D574" s="210"/>
      <c r="F574" s="154"/>
      <c r="G574" s="279"/>
    </row>
    <row r="575" spans="2:9" ht="78" customHeight="1">
      <c r="B575" s="152"/>
      <c r="C575" s="153"/>
      <c r="D575" s="210"/>
      <c r="F575" s="154"/>
      <c r="G575" s="279"/>
    </row>
    <row r="576" spans="2:9" ht="78" customHeight="1">
      <c r="B576" s="152"/>
      <c r="C576" s="152"/>
      <c r="D576" s="210"/>
      <c r="F576" s="154"/>
      <c r="G576" s="279"/>
      <c r="H576" s="154"/>
    </row>
    <row r="577" spans="2:8" ht="78" customHeight="1">
      <c r="B577" s="152"/>
      <c r="C577" s="153"/>
      <c r="D577" s="210"/>
      <c r="F577" s="154"/>
      <c r="G577" s="279"/>
      <c r="H577" s="154"/>
    </row>
    <row r="578" spans="2:8" ht="78" customHeight="1">
      <c r="B578" s="152"/>
      <c r="C578" s="152"/>
      <c r="D578" s="210"/>
      <c r="F578" s="154"/>
      <c r="G578" s="279"/>
    </row>
    <row r="579" spans="2:8" ht="78" customHeight="1">
      <c r="B579" s="152"/>
      <c r="C579" s="152"/>
      <c r="D579" s="210"/>
      <c r="F579" s="154"/>
      <c r="G579" s="279"/>
    </row>
    <row r="580" spans="2:8" ht="78" customHeight="1">
      <c r="B580" s="152"/>
      <c r="C580" s="152"/>
      <c r="D580" s="210"/>
      <c r="F580" s="154"/>
      <c r="G580" s="279"/>
    </row>
    <row r="581" spans="2:8" ht="78" customHeight="1">
      <c r="B581" s="152"/>
      <c r="C581" s="152"/>
      <c r="D581" s="210"/>
      <c r="F581" s="154"/>
      <c r="G581" s="279"/>
    </row>
    <row r="582" spans="2:8" ht="78" customHeight="1">
      <c r="B582" s="152"/>
      <c r="C582" s="152"/>
      <c r="D582" s="210"/>
      <c r="F582" s="154"/>
      <c r="G582" s="279"/>
    </row>
    <row r="583" spans="2:8" ht="78" customHeight="1">
      <c r="B583" s="152"/>
      <c r="C583" s="152"/>
      <c r="D583" s="210"/>
      <c r="F583" s="154"/>
      <c r="G583" s="279"/>
    </row>
    <row r="584" spans="2:8" ht="78" customHeight="1">
      <c r="B584" s="152"/>
      <c r="C584" s="152"/>
      <c r="D584" s="210"/>
      <c r="F584" s="154"/>
      <c r="G584" s="279"/>
    </row>
    <row r="585" spans="2:8" ht="78" customHeight="1">
      <c r="B585" s="152"/>
      <c r="C585" s="152"/>
      <c r="D585" s="210"/>
      <c r="F585" s="154"/>
      <c r="G585" s="279"/>
    </row>
    <row r="586" spans="2:8" ht="78" customHeight="1">
      <c r="B586" s="152"/>
      <c r="C586" s="152"/>
      <c r="D586" s="210"/>
      <c r="F586" s="154"/>
      <c r="G586" s="279"/>
    </row>
    <row r="587" spans="2:8" ht="78" customHeight="1">
      <c r="B587" s="152"/>
      <c r="C587" s="152"/>
      <c r="D587" s="210"/>
      <c r="F587" s="154"/>
      <c r="G587" s="279"/>
    </row>
    <row r="588" spans="2:8" ht="78" customHeight="1">
      <c r="B588" s="152"/>
      <c r="C588" s="152"/>
      <c r="D588" s="210"/>
      <c r="F588" s="154"/>
      <c r="G588" s="161"/>
    </row>
    <row r="589" spans="2:8" ht="78" customHeight="1">
      <c r="B589" s="152"/>
      <c r="C589" s="152"/>
      <c r="D589" s="210"/>
      <c r="F589" s="154"/>
      <c r="G589" s="161"/>
    </row>
    <row r="590" spans="2:8" ht="78" customHeight="1">
      <c r="B590" s="152"/>
      <c r="C590" s="152"/>
      <c r="D590" s="210"/>
      <c r="E590" s="166"/>
      <c r="F590" s="222"/>
      <c r="G590" s="161"/>
    </row>
    <row r="591" spans="2:8" ht="78" customHeight="1">
      <c r="B591" s="152"/>
      <c r="C591" s="152"/>
      <c r="D591" s="210"/>
      <c r="E591" s="166"/>
      <c r="F591" s="222"/>
      <c r="G591" s="161"/>
    </row>
    <row r="592" spans="2:8" ht="78" customHeight="1">
      <c r="B592" s="152"/>
      <c r="C592" s="152"/>
      <c r="D592" s="210"/>
      <c r="F592" s="154"/>
      <c r="G592" s="161"/>
    </row>
    <row r="593" spans="2:8" ht="78" customHeight="1">
      <c r="B593" s="152"/>
      <c r="C593" s="152"/>
      <c r="D593" s="210"/>
      <c r="F593" s="154"/>
      <c r="G593" s="161"/>
    </row>
    <row r="594" spans="2:8" ht="78" customHeight="1">
      <c r="B594" s="152"/>
      <c r="C594" s="152"/>
      <c r="D594" s="210"/>
      <c r="F594" s="154"/>
      <c r="G594" s="161"/>
    </row>
    <row r="595" spans="2:8" ht="78" customHeight="1">
      <c r="B595" s="152"/>
      <c r="C595" s="152"/>
      <c r="D595" s="210"/>
      <c r="F595" s="154"/>
      <c r="G595" s="161"/>
    </row>
    <row r="596" spans="2:8" ht="78" customHeight="1">
      <c r="B596" s="152"/>
      <c r="C596" s="152"/>
      <c r="D596" s="210"/>
      <c r="F596" s="154"/>
      <c r="G596" s="161"/>
    </row>
    <row r="597" spans="2:8" ht="78" customHeight="1">
      <c r="B597" s="152"/>
      <c r="C597" s="152"/>
      <c r="D597" s="210"/>
      <c r="F597" s="154"/>
      <c r="G597" s="161"/>
    </row>
    <row r="598" spans="2:8" ht="78" customHeight="1">
      <c r="B598" s="152"/>
      <c r="C598" s="152"/>
      <c r="D598" s="210"/>
      <c r="F598" s="154"/>
      <c r="G598" s="161"/>
    </row>
    <row r="599" spans="2:8" ht="78" customHeight="1">
      <c r="B599" s="152"/>
      <c r="C599" s="152"/>
      <c r="D599" s="210"/>
      <c r="F599" s="154"/>
      <c r="G599" s="161"/>
    </row>
    <row r="600" spans="2:8" ht="78" customHeight="1">
      <c r="B600" s="152"/>
      <c r="C600" s="152"/>
      <c r="D600" s="210"/>
      <c r="E600" s="166"/>
      <c r="F600" s="222"/>
      <c r="G600" s="161"/>
    </row>
    <row r="601" spans="2:8" ht="78" customHeight="1">
      <c r="B601" s="152"/>
      <c r="C601" s="152"/>
      <c r="D601" s="210"/>
      <c r="E601" s="166"/>
      <c r="F601" s="222"/>
      <c r="G601" s="161"/>
      <c r="H601" s="154"/>
    </row>
    <row r="602" spans="2:8" ht="78" customHeight="1">
      <c r="B602" s="152"/>
      <c r="C602" s="152"/>
      <c r="D602" s="210"/>
      <c r="F602" s="154"/>
      <c r="G602" s="161"/>
    </row>
    <row r="603" spans="2:8" ht="78" customHeight="1">
      <c r="B603" s="152"/>
      <c r="C603" s="152"/>
      <c r="D603" s="210"/>
      <c r="F603" s="154"/>
      <c r="G603" s="161"/>
    </row>
    <row r="604" spans="2:8" ht="78" customHeight="1">
      <c r="B604" s="152"/>
      <c r="C604" s="152"/>
      <c r="D604" s="210"/>
      <c r="F604" s="154"/>
      <c r="G604" s="161"/>
    </row>
    <row r="605" spans="2:8" ht="78" customHeight="1">
      <c r="B605" s="152"/>
      <c r="C605" s="152"/>
      <c r="D605" s="210"/>
      <c r="F605" s="154"/>
      <c r="G605" s="161"/>
    </row>
    <row r="606" spans="2:8" ht="78" customHeight="1">
      <c r="B606" s="152"/>
      <c r="C606" s="152"/>
      <c r="D606" s="210"/>
      <c r="F606" s="154"/>
      <c r="G606" s="161"/>
    </row>
    <row r="607" spans="2:8" ht="78" customHeight="1">
      <c r="B607" s="152"/>
      <c r="C607" s="152"/>
      <c r="D607" s="210"/>
      <c r="F607" s="154"/>
      <c r="G607" s="161"/>
    </row>
    <row r="608" spans="2:8" ht="78" customHeight="1">
      <c r="B608" s="152"/>
      <c r="C608" s="152"/>
      <c r="D608" s="210"/>
      <c r="F608" s="154"/>
      <c r="G608" s="161"/>
    </row>
    <row r="609" spans="2:8" ht="78" customHeight="1">
      <c r="B609" s="152"/>
      <c r="C609" s="152"/>
      <c r="D609" s="210"/>
      <c r="F609" s="154"/>
      <c r="G609" s="161"/>
    </row>
    <row r="610" spans="2:8" ht="78" customHeight="1">
      <c r="B610" s="152"/>
      <c r="C610" s="152"/>
      <c r="D610" s="256"/>
      <c r="F610" s="154"/>
      <c r="G610" s="161"/>
    </row>
    <row r="611" spans="2:8" ht="78" customHeight="1">
      <c r="B611" s="152"/>
      <c r="C611" s="152"/>
      <c r="D611" s="210"/>
      <c r="E611" s="161"/>
      <c r="F611" s="154"/>
      <c r="G611" s="161"/>
      <c r="H611" s="154"/>
    </row>
    <row r="612" spans="2:8" ht="78" customHeight="1">
      <c r="B612" s="152"/>
      <c r="C612" s="152"/>
      <c r="D612" s="256"/>
      <c r="F612" s="154"/>
      <c r="G612" s="161"/>
    </row>
    <row r="613" spans="2:8" ht="78" customHeight="1">
      <c r="B613" s="152"/>
      <c r="C613" s="153"/>
      <c r="D613" s="256"/>
      <c r="F613" s="154"/>
      <c r="G613" s="161"/>
    </row>
    <row r="614" spans="2:8" ht="78" customHeight="1">
      <c r="B614" s="152"/>
      <c r="C614" s="153"/>
      <c r="D614" s="256"/>
      <c r="G614" s="161"/>
    </row>
    <row r="615" spans="2:8" ht="78" customHeight="1">
      <c r="B615" s="152"/>
      <c r="C615" s="153"/>
      <c r="D615" s="256"/>
      <c r="F615" s="154"/>
      <c r="G615" s="161"/>
    </row>
    <row r="616" spans="2:8" ht="78" customHeight="1">
      <c r="B616" s="152"/>
      <c r="C616" s="152"/>
      <c r="D616" s="210"/>
      <c r="E616" s="166"/>
      <c r="F616" s="222"/>
      <c r="G616" s="161"/>
    </row>
    <row r="617" spans="2:8" ht="78" customHeight="1">
      <c r="B617" s="152"/>
      <c r="C617" s="152"/>
      <c r="D617" s="210"/>
      <c r="E617" s="166"/>
      <c r="F617" s="222"/>
      <c r="G617" s="161"/>
    </row>
    <row r="618" spans="2:8" ht="78" customHeight="1">
      <c r="B618" s="152"/>
      <c r="C618" s="153"/>
      <c r="D618" s="210"/>
      <c r="F618" s="154"/>
      <c r="G618" s="161"/>
    </row>
    <row r="619" spans="2:8" ht="78" customHeight="1">
      <c r="B619" s="152"/>
      <c r="C619" s="153"/>
      <c r="D619" s="210"/>
      <c r="F619" s="154"/>
      <c r="G619" s="161"/>
      <c r="H619" s="154"/>
    </row>
    <row r="620" spans="2:8" ht="78" customHeight="1">
      <c r="B620" s="152"/>
      <c r="C620" s="152"/>
      <c r="D620" s="210"/>
      <c r="E620" s="166"/>
      <c r="F620" s="222"/>
      <c r="G620" s="161"/>
    </row>
    <row r="621" spans="2:8" ht="78" customHeight="1">
      <c r="B621" s="152"/>
      <c r="C621" s="152"/>
      <c r="D621" s="210"/>
      <c r="E621" s="166"/>
      <c r="F621" s="222"/>
      <c r="G621" s="161"/>
    </row>
    <row r="622" spans="2:8" ht="78" customHeight="1">
      <c r="B622" s="152"/>
      <c r="C622" s="152"/>
      <c r="D622" s="210"/>
      <c r="G622" s="161"/>
      <c r="H622" s="154"/>
    </row>
    <row r="623" spans="2:8" ht="78" customHeight="1">
      <c r="B623" s="152"/>
      <c r="C623" s="153"/>
      <c r="D623" s="256"/>
      <c r="F623" s="154"/>
      <c r="G623" s="161"/>
    </row>
    <row r="624" spans="2:8" ht="78" customHeight="1">
      <c r="B624" s="152"/>
      <c r="C624" s="153"/>
      <c r="D624" s="256"/>
      <c r="F624" s="154"/>
      <c r="G624" s="161"/>
    </row>
    <row r="625" spans="2:8" ht="78" customHeight="1">
      <c r="B625" s="152"/>
      <c r="C625" s="152"/>
      <c r="D625" s="210"/>
      <c r="F625" s="154"/>
      <c r="G625" s="161"/>
    </row>
    <row r="626" spans="2:8" ht="78" customHeight="1">
      <c r="B626" s="152"/>
      <c r="C626" s="153"/>
      <c r="D626" s="210"/>
      <c r="F626" s="154"/>
      <c r="G626" s="161"/>
    </row>
    <row r="627" spans="2:8" ht="78" customHeight="1">
      <c r="B627" s="152"/>
      <c r="C627" s="152"/>
      <c r="D627" s="256"/>
      <c r="F627" s="154"/>
      <c r="G627" s="279"/>
      <c r="H627" s="154"/>
    </row>
    <row r="628" spans="2:8" ht="78" customHeight="1">
      <c r="B628" s="152"/>
      <c r="C628" s="152"/>
      <c r="D628" s="210"/>
      <c r="E628" s="166"/>
      <c r="F628" s="222"/>
      <c r="G628" s="161"/>
    </row>
    <row r="629" spans="2:8" ht="78" customHeight="1">
      <c r="B629" s="152"/>
      <c r="C629" s="152"/>
      <c r="D629" s="210"/>
      <c r="E629" s="166"/>
      <c r="F629" s="222"/>
      <c r="G629" s="161"/>
    </row>
    <row r="630" spans="2:8" ht="78" customHeight="1">
      <c r="B630" s="152"/>
      <c r="C630" s="152"/>
      <c r="D630" s="256"/>
      <c r="F630" s="154"/>
      <c r="G630" s="161"/>
    </row>
    <row r="631" spans="2:8" ht="78" customHeight="1">
      <c r="B631" s="152"/>
      <c r="C631" s="152"/>
      <c r="D631" s="210"/>
      <c r="F631" s="154"/>
      <c r="G631" s="161"/>
      <c r="H631" s="154"/>
    </row>
    <row r="632" spans="2:8" ht="78" customHeight="1">
      <c r="B632" s="152"/>
      <c r="C632" s="152"/>
      <c r="D632" s="256"/>
      <c r="E632" s="155"/>
      <c r="F632" s="222"/>
      <c r="G632" s="181"/>
    </row>
    <row r="633" spans="2:8" ht="78" customHeight="1">
      <c r="B633" s="152"/>
      <c r="C633" s="254"/>
      <c r="D633" s="210"/>
      <c r="E633" s="166"/>
      <c r="F633" s="165"/>
      <c r="G633" s="161"/>
      <c r="H633" s="247"/>
    </row>
    <row r="634" spans="2:8" ht="78" customHeight="1">
      <c r="B634" s="254"/>
      <c r="C634" s="152"/>
      <c r="D634" s="212"/>
      <c r="E634" s="171"/>
      <c r="F634" s="154"/>
      <c r="G634" s="158"/>
    </row>
    <row r="635" spans="2:8" ht="78" customHeight="1">
      <c r="B635" s="254"/>
      <c r="C635" s="152"/>
      <c r="D635" s="210"/>
      <c r="E635" s="158"/>
      <c r="F635" s="154"/>
      <c r="G635" s="161"/>
      <c r="H635" s="154"/>
    </row>
    <row r="636" spans="2:8" ht="78" customHeight="1">
      <c r="B636" s="152"/>
      <c r="C636" s="152"/>
      <c r="D636" s="210"/>
      <c r="E636" s="166"/>
      <c r="F636" s="222"/>
      <c r="G636" s="161"/>
    </row>
    <row r="637" spans="2:8" ht="78" customHeight="1">
      <c r="B637" s="152"/>
      <c r="C637" s="152"/>
      <c r="D637" s="256"/>
      <c r="E637" s="155"/>
      <c r="F637" s="222"/>
      <c r="G637" s="161"/>
    </row>
    <row r="638" spans="2:8" ht="78" customHeight="1">
      <c r="B638" s="152"/>
      <c r="C638" s="152"/>
      <c r="D638" s="210"/>
      <c r="F638" s="154"/>
      <c r="G638" s="161"/>
    </row>
    <row r="639" spans="2:8" ht="78" customHeight="1">
      <c r="B639" s="152"/>
      <c r="C639" s="152"/>
      <c r="D639" s="210"/>
      <c r="F639" s="154"/>
      <c r="G639" s="161"/>
      <c r="H639" s="154"/>
    </row>
    <row r="640" spans="2:8" ht="78" customHeight="1">
      <c r="B640" s="152"/>
      <c r="C640" s="153"/>
      <c r="D640" s="210"/>
      <c r="G640" s="161"/>
    </row>
    <row r="641" spans="2:8" ht="78" customHeight="1">
      <c r="B641" s="152"/>
      <c r="C641" s="152"/>
      <c r="D641" s="210"/>
      <c r="E641" s="166"/>
      <c r="F641" s="222"/>
      <c r="G641" s="161"/>
    </row>
    <row r="642" spans="2:8" ht="78" customHeight="1">
      <c r="B642" s="152"/>
      <c r="C642" s="152"/>
      <c r="D642" s="210"/>
      <c r="F642" s="154"/>
      <c r="G642" s="161"/>
    </row>
    <row r="643" spans="2:8" ht="78" customHeight="1">
      <c r="B643" s="152"/>
      <c r="C643" s="153"/>
      <c r="D643" s="210"/>
      <c r="F643" s="154"/>
      <c r="G643" s="161"/>
    </row>
    <row r="644" spans="2:8" ht="78" customHeight="1">
      <c r="B644" s="152"/>
      <c r="C644" s="153"/>
      <c r="D644" s="210"/>
      <c r="F644" s="154"/>
      <c r="G644" s="161"/>
    </row>
    <row r="645" spans="2:8" ht="78" customHeight="1">
      <c r="B645" s="152"/>
      <c r="C645" s="153"/>
      <c r="D645" s="210"/>
      <c r="F645" s="154"/>
      <c r="G645" s="161"/>
    </row>
    <row r="646" spans="2:8" ht="78" customHeight="1">
      <c r="B646" s="152"/>
      <c r="C646" s="153"/>
      <c r="D646" s="210"/>
      <c r="F646" s="154"/>
      <c r="G646" s="161"/>
    </row>
    <row r="647" spans="2:8" ht="78" customHeight="1">
      <c r="B647" s="153"/>
      <c r="C647" s="153"/>
      <c r="D647" s="210"/>
      <c r="F647" s="154"/>
      <c r="G647" s="161"/>
      <c r="H647" s="154"/>
    </row>
    <row r="648" spans="2:8" ht="78" customHeight="1">
      <c r="B648" s="152"/>
      <c r="C648" s="152"/>
      <c r="D648" s="261"/>
      <c r="G648" s="161"/>
    </row>
    <row r="649" spans="2:8" ht="78" customHeight="1">
      <c r="B649" s="152"/>
      <c r="C649" s="152"/>
      <c r="D649" s="210"/>
      <c r="F649" s="154"/>
      <c r="G649" s="161"/>
    </row>
    <row r="650" spans="2:8" ht="78" customHeight="1">
      <c r="B650" s="152"/>
      <c r="C650" s="152"/>
      <c r="D650" s="210"/>
      <c r="F650" s="154"/>
      <c r="G650" s="161"/>
    </row>
    <row r="651" spans="2:8" ht="78" customHeight="1">
      <c r="B651" s="152"/>
      <c r="C651" s="152"/>
      <c r="D651" s="210"/>
      <c r="F651" s="154"/>
      <c r="G651" s="161"/>
    </row>
    <row r="652" spans="2:8" ht="78" customHeight="1">
      <c r="B652" s="152"/>
      <c r="C652" s="152"/>
      <c r="D652" s="210"/>
      <c r="G652" s="161"/>
    </row>
    <row r="653" spans="2:8" ht="78" customHeight="1">
      <c r="B653" s="152"/>
      <c r="C653" s="153"/>
      <c r="D653" s="256"/>
      <c r="F653" s="154"/>
      <c r="G653" s="161"/>
    </row>
    <row r="654" spans="2:8" ht="78" customHeight="1">
      <c r="B654" s="152"/>
      <c r="C654" s="245"/>
      <c r="D654" s="210"/>
      <c r="E654" s="161"/>
      <c r="G654" s="161"/>
    </row>
    <row r="655" spans="2:8" ht="78" customHeight="1">
      <c r="B655" s="245"/>
      <c r="C655" s="245"/>
      <c r="D655" s="210"/>
      <c r="E655" s="158"/>
      <c r="F655" s="154"/>
      <c r="G655" s="161"/>
    </row>
    <row r="656" spans="2:8" ht="78" customHeight="1">
      <c r="B656" s="245"/>
      <c r="C656" s="245"/>
      <c r="D656" s="210"/>
      <c r="E656" s="166"/>
      <c r="F656" s="222"/>
      <c r="G656" s="161"/>
    </row>
    <row r="657" spans="1:8" ht="78" customHeight="1">
      <c r="B657" s="245"/>
      <c r="C657" s="245"/>
      <c r="D657" s="256"/>
      <c r="E657" s="155"/>
      <c r="F657" s="222"/>
      <c r="G657" s="161"/>
    </row>
    <row r="658" spans="1:8" ht="78" customHeight="1">
      <c r="B658" s="152"/>
      <c r="C658" s="153"/>
      <c r="D658" s="256"/>
      <c r="E658" s="181"/>
      <c r="F658" s="154"/>
      <c r="G658" s="161"/>
    </row>
    <row r="659" spans="1:8" ht="78" customHeight="1">
      <c r="B659" s="227"/>
      <c r="C659" s="281"/>
      <c r="D659" s="210"/>
      <c r="E659" s="176"/>
      <c r="F659" s="218"/>
      <c r="G659" s="181"/>
    </row>
    <row r="660" spans="1:8" ht="78" customHeight="1">
      <c r="B660" s="282"/>
      <c r="C660" s="153"/>
      <c r="D660" s="256"/>
      <c r="F660" s="257"/>
      <c r="G660" s="166"/>
      <c r="H660" s="259"/>
    </row>
    <row r="661" spans="1:8" ht="78" customHeight="1">
      <c r="B661" s="254"/>
      <c r="C661" s="283"/>
      <c r="D661" s="210"/>
      <c r="E661" s="173"/>
      <c r="F661" s="172"/>
      <c r="G661" s="166"/>
      <c r="H661" s="222"/>
    </row>
    <row r="662" spans="1:8" ht="78" customHeight="1">
      <c r="B662" s="282"/>
      <c r="C662" s="153"/>
      <c r="D662" s="212"/>
      <c r="F662" s="257"/>
      <c r="G662" s="166"/>
      <c r="H662" s="222"/>
    </row>
    <row r="663" spans="1:8" ht="78" customHeight="1">
      <c r="B663" s="228"/>
      <c r="C663" s="284"/>
      <c r="D663" s="210"/>
      <c r="E663" s="182"/>
      <c r="F663" s="175"/>
      <c r="G663" s="166"/>
      <c r="H663" s="222"/>
    </row>
    <row r="664" spans="1:8" ht="78" customHeight="1">
      <c r="B664" s="152"/>
      <c r="C664" s="285"/>
      <c r="D664" s="212"/>
      <c r="F664" s="257"/>
      <c r="G664" s="166"/>
      <c r="H664" s="222"/>
    </row>
    <row r="665" spans="1:8" ht="78" customHeight="1">
      <c r="B665" s="254"/>
      <c r="C665" s="286"/>
      <c r="D665" s="210"/>
      <c r="E665" s="176"/>
      <c r="F665" s="260"/>
      <c r="G665" s="166"/>
      <c r="H665" s="222"/>
    </row>
    <row r="666" spans="1:8" ht="78" customHeight="1">
      <c r="B666" s="287"/>
      <c r="C666" s="228"/>
      <c r="D666" s="210"/>
      <c r="E666" s="158"/>
      <c r="G666" s="166"/>
      <c r="H666" s="244"/>
    </row>
    <row r="667" spans="1:8" ht="78" customHeight="1">
      <c r="B667" s="152"/>
      <c r="C667" s="275"/>
      <c r="D667" s="210"/>
      <c r="E667" s="161"/>
      <c r="F667" s="154"/>
      <c r="G667" s="166"/>
      <c r="H667" s="222"/>
    </row>
    <row r="668" spans="1:8" ht="78" customHeight="1">
      <c r="B668" s="254"/>
      <c r="C668" s="275"/>
      <c r="D668" s="210"/>
      <c r="E668" s="161"/>
      <c r="F668" s="154"/>
      <c r="G668" s="166"/>
      <c r="H668" s="222"/>
    </row>
    <row r="669" spans="1:8" ht="78" customHeight="1">
      <c r="B669" s="228"/>
      <c r="C669" s="285"/>
      <c r="D669" s="212"/>
      <c r="E669" s="158"/>
      <c r="F669" s="154"/>
      <c r="G669" s="166"/>
      <c r="H669" s="222"/>
    </row>
    <row r="670" spans="1:8" ht="78" customHeight="1">
      <c r="B670" s="227"/>
      <c r="C670" s="275"/>
      <c r="D670" s="210"/>
      <c r="E670" s="161"/>
      <c r="F670" s="154"/>
      <c r="G670" s="166"/>
      <c r="H670" s="222"/>
    </row>
    <row r="671" spans="1:8" ht="78" customHeight="1">
      <c r="B671" s="282"/>
      <c r="C671" s="152"/>
      <c r="D671" s="210"/>
      <c r="E671" s="161"/>
      <c r="F671" s="154"/>
      <c r="G671" s="166"/>
      <c r="H671" s="222"/>
    </row>
    <row r="672" spans="1:8" ht="78" customHeight="1">
      <c r="A672" s="207"/>
      <c r="B672" s="254"/>
      <c r="C672" s="254"/>
      <c r="D672" s="210"/>
      <c r="E672" s="161"/>
      <c r="F672" s="154"/>
      <c r="G672" s="166"/>
      <c r="H672" s="222"/>
    </row>
    <row r="673" spans="2:8" ht="78" customHeight="1">
      <c r="B673" s="254"/>
      <c r="C673" s="152"/>
      <c r="D673" s="256"/>
      <c r="E673" s="181"/>
      <c r="F673" s="154"/>
      <c r="G673" s="166"/>
      <c r="H673" s="222"/>
    </row>
    <row r="674" spans="2:8" ht="78" customHeight="1">
      <c r="B674" s="254"/>
      <c r="C674" s="245"/>
      <c r="D674" s="256"/>
      <c r="E674" s="181"/>
      <c r="G674" s="166"/>
      <c r="H674" s="244"/>
    </row>
    <row r="675" spans="2:8" ht="78" customHeight="1">
      <c r="B675" s="152"/>
      <c r="C675" s="152"/>
      <c r="D675" s="173"/>
      <c r="E675" s="161"/>
      <c r="G675" s="166"/>
      <c r="H675" s="222"/>
    </row>
    <row r="676" spans="2:8" ht="78" customHeight="1">
      <c r="B676" s="152"/>
      <c r="C676" s="152"/>
      <c r="D676" s="173"/>
      <c r="F676" s="154"/>
      <c r="G676" s="166"/>
      <c r="H676" s="244"/>
    </row>
    <row r="677" spans="2:8" ht="78" customHeight="1">
      <c r="B677" s="152"/>
      <c r="C677" s="152"/>
      <c r="D677" s="173"/>
      <c r="G677" s="166"/>
      <c r="H677" s="244"/>
    </row>
    <row r="678" spans="2:8" ht="78" customHeight="1">
      <c r="B678" s="152"/>
      <c r="C678" s="152"/>
      <c r="D678" s="173"/>
      <c r="F678" s="154"/>
      <c r="G678" s="166"/>
      <c r="H678" s="224"/>
    </row>
    <row r="679" spans="2:8" ht="78" customHeight="1">
      <c r="B679" s="152"/>
      <c r="C679" s="153"/>
      <c r="D679" s="173"/>
      <c r="F679" s="154"/>
      <c r="G679" s="166"/>
      <c r="H679" s="154"/>
    </row>
    <row r="680" spans="2:8" ht="78" customHeight="1">
      <c r="B680" s="152"/>
      <c r="C680" s="152"/>
      <c r="D680" s="173"/>
      <c r="G680" s="166"/>
      <c r="H680" s="154"/>
    </row>
    <row r="681" spans="2:8" ht="78" customHeight="1">
      <c r="B681" s="152"/>
      <c r="C681" s="152"/>
      <c r="D681" s="173"/>
      <c r="F681" s="154"/>
      <c r="G681" s="166"/>
      <c r="H681" s="154"/>
    </row>
    <row r="682" spans="2:8" ht="78" customHeight="1">
      <c r="B682" s="152"/>
      <c r="C682" s="152"/>
      <c r="D682" s="149"/>
      <c r="F682" s="154"/>
      <c r="G682" s="166"/>
    </row>
    <row r="683" spans="2:8" ht="78" customHeight="1">
      <c r="B683" s="152"/>
      <c r="C683" s="152"/>
      <c r="D683" s="149"/>
      <c r="F683" s="154"/>
      <c r="G683" s="166"/>
      <c r="H683" s="154"/>
    </row>
    <row r="684" spans="2:8" ht="78" customHeight="1">
      <c r="B684" s="152"/>
      <c r="C684" s="152"/>
      <c r="D684" s="149"/>
      <c r="F684" s="154"/>
      <c r="G684" s="166"/>
      <c r="H684" s="288"/>
    </row>
    <row r="685" spans="2:8" ht="78" customHeight="1">
      <c r="B685" s="152"/>
      <c r="C685" s="152"/>
      <c r="D685" s="149"/>
      <c r="F685" s="154"/>
      <c r="G685" s="166"/>
    </row>
    <row r="686" spans="2:8" ht="78" customHeight="1">
      <c r="B686" s="152"/>
      <c r="C686" s="152"/>
      <c r="D686" s="149"/>
      <c r="F686" s="154"/>
      <c r="G686" s="166"/>
    </row>
    <row r="687" spans="2:8" ht="78" customHeight="1">
      <c r="B687" s="152"/>
      <c r="C687" s="152"/>
      <c r="D687" s="149"/>
      <c r="F687" s="154"/>
      <c r="G687" s="166"/>
    </row>
    <row r="688" spans="2:8" ht="78" customHeight="1">
      <c r="B688" s="152"/>
      <c r="C688" s="152"/>
      <c r="D688" s="149"/>
      <c r="F688" s="154"/>
      <c r="G688" s="166"/>
    </row>
    <row r="689" spans="2:8" ht="78" customHeight="1">
      <c r="B689" s="152"/>
      <c r="C689" s="152"/>
      <c r="D689" s="149"/>
      <c r="F689" s="154"/>
      <c r="G689" s="166"/>
    </row>
    <row r="690" spans="2:8" ht="78" customHeight="1">
      <c r="B690" s="152"/>
      <c r="C690" s="152"/>
      <c r="D690" s="149"/>
      <c r="F690" s="154"/>
      <c r="G690" s="155"/>
    </row>
    <row r="691" spans="2:8" ht="78" customHeight="1">
      <c r="B691" s="152"/>
      <c r="C691" s="275"/>
      <c r="D691" s="173"/>
      <c r="E691" s="161"/>
      <c r="F691" s="172"/>
      <c r="G691" s="155"/>
      <c r="H691" s="236"/>
    </row>
    <row r="692" spans="2:8" ht="78" customHeight="1">
      <c r="B692" s="152"/>
      <c r="C692" s="152"/>
      <c r="D692" s="149"/>
      <c r="F692" s="154"/>
      <c r="G692" s="155"/>
      <c r="H692" s="154"/>
    </row>
    <row r="693" spans="2:8" ht="78" customHeight="1">
      <c r="B693" s="152"/>
      <c r="C693" s="152"/>
      <c r="D693" s="149"/>
      <c r="F693" s="154"/>
      <c r="G693" s="155"/>
    </row>
    <row r="694" spans="2:8" ht="78" customHeight="1">
      <c r="B694" s="152"/>
      <c r="C694" s="152"/>
      <c r="D694" s="149"/>
      <c r="F694" s="154"/>
      <c r="G694" s="155"/>
    </row>
    <row r="695" spans="2:8" ht="78" customHeight="1">
      <c r="B695" s="152"/>
      <c r="C695" s="152"/>
      <c r="D695" s="149"/>
      <c r="F695" s="154"/>
      <c r="G695" s="155"/>
      <c r="H695" s="154"/>
    </row>
    <row r="696" spans="2:8" ht="78" customHeight="1">
      <c r="B696" s="152"/>
      <c r="C696" s="153"/>
      <c r="D696" s="149"/>
      <c r="F696" s="154"/>
      <c r="G696" s="155"/>
      <c r="H696" s="154"/>
    </row>
    <row r="697" spans="2:8" ht="78" customHeight="1">
      <c r="B697" s="152"/>
      <c r="C697" s="152"/>
      <c r="D697" s="173"/>
      <c r="F697" s="154"/>
      <c r="G697" s="155"/>
      <c r="H697" s="154"/>
    </row>
    <row r="698" spans="2:8" ht="78" customHeight="1">
      <c r="B698" s="153"/>
      <c r="C698" s="153"/>
      <c r="D698" s="149"/>
      <c r="F698" s="154"/>
      <c r="G698" s="155"/>
      <c r="H698" s="154"/>
    </row>
    <row r="699" spans="2:8" ht="78" customHeight="1">
      <c r="B699" s="153"/>
      <c r="C699" s="152"/>
      <c r="D699" s="149"/>
      <c r="F699" s="154"/>
      <c r="G699" s="155"/>
    </row>
    <row r="700" spans="2:8" ht="78" customHeight="1">
      <c r="B700" s="152"/>
      <c r="C700" s="152"/>
      <c r="D700" s="149"/>
      <c r="F700" s="154"/>
      <c r="G700" s="155"/>
    </row>
    <row r="701" spans="2:8" ht="78" customHeight="1">
      <c r="B701" s="152"/>
      <c r="C701" s="152"/>
      <c r="D701" s="149"/>
      <c r="F701" s="154"/>
      <c r="G701" s="155"/>
    </row>
    <row r="702" spans="2:8" ht="78" customHeight="1">
      <c r="B702" s="152"/>
      <c r="C702" s="152"/>
      <c r="D702" s="173"/>
      <c r="G702" s="155"/>
    </row>
    <row r="703" spans="2:8" ht="78" customHeight="1">
      <c r="B703" s="152"/>
      <c r="C703" s="152"/>
      <c r="D703" s="149"/>
      <c r="F703" s="154"/>
      <c r="G703" s="155"/>
    </row>
    <row r="704" spans="2:8" ht="78" customHeight="1">
      <c r="B704" s="152"/>
      <c r="C704" s="152"/>
      <c r="D704" s="149"/>
      <c r="G704" s="155"/>
    </row>
    <row r="705" spans="2:8" ht="78" customHeight="1">
      <c r="B705" s="152"/>
      <c r="C705" s="152"/>
      <c r="D705" s="149"/>
      <c r="F705" s="154"/>
      <c r="G705" s="155"/>
    </row>
    <row r="706" spans="2:8" ht="78" customHeight="1">
      <c r="B706" s="152"/>
      <c r="C706" s="153"/>
      <c r="D706" s="149"/>
      <c r="G706" s="155"/>
      <c r="H706" s="154"/>
    </row>
    <row r="707" spans="2:8" ht="78" customHeight="1">
      <c r="B707" s="152"/>
      <c r="C707" s="152"/>
      <c r="D707" s="210"/>
      <c r="F707" s="154"/>
      <c r="G707" s="155"/>
      <c r="H707" s="154"/>
    </row>
    <row r="708" spans="2:8" ht="78" customHeight="1">
      <c r="B708" s="152"/>
      <c r="C708" s="152"/>
      <c r="D708" s="149"/>
      <c r="F708" s="154"/>
      <c r="G708" s="155"/>
    </row>
    <row r="709" spans="2:8" ht="78" customHeight="1">
      <c r="B709" s="152"/>
      <c r="C709" s="152"/>
      <c r="D709" s="149"/>
      <c r="F709" s="154"/>
      <c r="G709" s="155"/>
    </row>
    <row r="710" spans="2:8" ht="78" customHeight="1">
      <c r="B710" s="152"/>
      <c r="C710" s="152"/>
      <c r="D710" s="149"/>
      <c r="F710" s="154"/>
      <c r="G710" s="155"/>
    </row>
    <row r="711" spans="2:8" ht="78" customHeight="1">
      <c r="B711" s="152"/>
      <c r="C711" s="152"/>
      <c r="D711" s="149"/>
      <c r="F711" s="222"/>
      <c r="G711" s="155"/>
    </row>
    <row r="712" spans="2:8" ht="78" customHeight="1">
      <c r="B712" s="152"/>
      <c r="C712" s="152"/>
      <c r="D712" s="149"/>
      <c r="F712" s="222"/>
      <c r="G712" s="155"/>
    </row>
    <row r="713" spans="2:8" ht="78" customHeight="1">
      <c r="B713" s="152"/>
      <c r="C713" s="152"/>
      <c r="D713" s="149"/>
      <c r="F713" s="154"/>
      <c r="G713" s="155"/>
    </row>
    <row r="714" spans="2:8" ht="78" customHeight="1">
      <c r="B714" s="152"/>
      <c r="C714" s="152"/>
      <c r="D714" s="149"/>
      <c r="F714" s="154"/>
      <c r="G714" s="155"/>
    </row>
    <row r="715" spans="2:8" ht="78" customHeight="1">
      <c r="B715" s="152"/>
      <c r="C715" s="152"/>
      <c r="D715" s="149"/>
      <c r="F715" s="222"/>
      <c r="G715" s="155"/>
    </row>
    <row r="716" spans="2:8" ht="78" customHeight="1">
      <c r="B716" s="152"/>
      <c r="C716" s="152"/>
      <c r="D716" s="149"/>
      <c r="F716" s="222"/>
      <c r="G716" s="155"/>
    </row>
    <row r="717" spans="2:8" ht="78" customHeight="1">
      <c r="B717" s="152"/>
      <c r="C717" s="152"/>
      <c r="D717" s="149"/>
      <c r="F717" s="154"/>
      <c r="G717" s="155"/>
    </row>
    <row r="718" spans="2:8" ht="78" customHeight="1">
      <c r="B718" s="152"/>
      <c r="C718" s="152"/>
      <c r="D718" s="149"/>
      <c r="G718" s="155"/>
    </row>
    <row r="719" spans="2:8" ht="78" customHeight="1">
      <c r="B719" s="152"/>
      <c r="C719" s="152"/>
      <c r="D719" s="149"/>
      <c r="F719" s="154"/>
      <c r="G719" s="155"/>
      <c r="H719" s="154"/>
    </row>
    <row r="720" spans="2:8" ht="78" customHeight="1">
      <c r="B720" s="152"/>
      <c r="C720" s="152"/>
      <c r="D720" s="149"/>
      <c r="F720" s="222"/>
      <c r="G720" s="155"/>
    </row>
    <row r="721" spans="2:8" ht="78" customHeight="1">
      <c r="B721" s="152"/>
      <c r="C721" s="152"/>
      <c r="D721" s="149"/>
      <c r="F721" s="222"/>
      <c r="G721" s="155"/>
    </row>
    <row r="722" spans="2:8" ht="78" customHeight="1">
      <c r="B722" s="152"/>
      <c r="C722" s="152"/>
      <c r="D722" s="149"/>
      <c r="F722" s="154"/>
      <c r="G722" s="155"/>
      <c r="H722" s="154"/>
    </row>
    <row r="723" spans="2:8" ht="78" customHeight="1">
      <c r="B723" s="152"/>
      <c r="C723" s="152"/>
      <c r="D723" s="149"/>
      <c r="F723" s="154"/>
      <c r="G723" s="155"/>
    </row>
    <row r="724" spans="2:8" ht="78" customHeight="1">
      <c r="B724" s="152"/>
      <c r="C724" s="152"/>
      <c r="D724" s="149"/>
      <c r="F724" s="154"/>
      <c r="G724" s="155"/>
    </row>
    <row r="725" spans="2:8" ht="78" customHeight="1">
      <c r="B725" s="152"/>
      <c r="C725" s="152"/>
      <c r="D725" s="149"/>
      <c r="F725" s="154"/>
      <c r="G725" s="155"/>
    </row>
    <row r="726" spans="2:8" ht="78" customHeight="1">
      <c r="B726" s="152"/>
      <c r="C726" s="152"/>
      <c r="D726" s="149"/>
      <c r="F726" s="154"/>
      <c r="G726" s="155"/>
    </row>
    <row r="727" spans="2:8" ht="78" customHeight="1">
      <c r="B727" s="152"/>
      <c r="C727" s="152"/>
      <c r="D727" s="149"/>
      <c r="F727" s="222"/>
      <c r="G727" s="155"/>
    </row>
    <row r="728" spans="2:8" ht="78" customHeight="1">
      <c r="B728" s="152"/>
      <c r="C728" s="152"/>
      <c r="D728" s="149"/>
      <c r="F728" s="222"/>
      <c r="G728" s="155"/>
    </row>
    <row r="729" spans="2:8" ht="78" customHeight="1">
      <c r="B729" s="152"/>
      <c r="C729" s="152"/>
      <c r="D729" s="149"/>
      <c r="G729" s="155"/>
      <c r="H729" s="154"/>
    </row>
    <row r="730" spans="2:8" ht="78" customHeight="1">
      <c r="B730" s="152"/>
      <c r="C730" s="153"/>
      <c r="D730" s="149"/>
      <c r="G730" s="155"/>
    </row>
    <row r="731" spans="2:8" ht="78" customHeight="1">
      <c r="B731" s="152"/>
      <c r="C731" s="152"/>
      <c r="D731" s="149"/>
      <c r="F731" s="154"/>
      <c r="G731" s="155"/>
      <c r="H731" s="289"/>
    </row>
    <row r="732" spans="2:8" ht="78" customHeight="1">
      <c r="B732" s="152"/>
      <c r="C732" s="153"/>
      <c r="D732" s="149"/>
      <c r="F732" s="154"/>
      <c r="G732" s="155"/>
    </row>
    <row r="733" spans="2:8" ht="78" customHeight="1">
      <c r="B733" s="152"/>
      <c r="C733" s="152"/>
      <c r="D733" s="149"/>
      <c r="F733" s="154"/>
      <c r="G733" s="155"/>
    </row>
    <row r="734" spans="2:8" ht="78" customHeight="1">
      <c r="B734" s="152"/>
      <c r="C734" s="152"/>
      <c r="D734" s="149"/>
      <c r="F734" s="154"/>
      <c r="G734" s="155"/>
    </row>
    <row r="735" spans="2:8" ht="78" customHeight="1">
      <c r="B735" s="152"/>
      <c r="C735" s="152"/>
      <c r="D735" s="149"/>
      <c r="F735" s="222"/>
      <c r="G735" s="155"/>
    </row>
    <row r="736" spans="2:8" ht="78" customHeight="1">
      <c r="B736" s="152"/>
      <c r="C736" s="152"/>
      <c r="D736" s="149"/>
      <c r="F736" s="222"/>
      <c r="G736" s="155"/>
    </row>
    <row r="737" spans="2:8" ht="78" customHeight="1">
      <c r="B737" s="152"/>
      <c r="C737" s="152"/>
      <c r="D737" s="149"/>
      <c r="F737" s="154"/>
      <c r="G737" s="155"/>
      <c r="H737" s="154"/>
    </row>
    <row r="738" spans="2:8" ht="78" customHeight="1">
      <c r="B738" s="152"/>
      <c r="C738" s="153"/>
      <c r="D738" s="149"/>
      <c r="F738" s="154"/>
      <c r="G738" s="155"/>
    </row>
    <row r="739" spans="2:8" ht="78" customHeight="1">
      <c r="B739" s="152"/>
      <c r="C739" s="152"/>
      <c r="D739" s="149"/>
      <c r="F739" s="222"/>
      <c r="G739" s="155"/>
      <c r="H739" s="154"/>
    </row>
    <row r="740" spans="2:8" ht="78" customHeight="1">
      <c r="B740" s="152"/>
      <c r="C740" s="152"/>
      <c r="D740" s="149"/>
      <c r="F740" s="222"/>
      <c r="G740" s="155"/>
      <c r="H740" s="154"/>
    </row>
    <row r="741" spans="2:8" ht="78" customHeight="1">
      <c r="B741" s="152"/>
      <c r="C741" s="153"/>
      <c r="D741" s="149"/>
      <c r="F741" s="244"/>
      <c r="G741" s="155"/>
    </row>
    <row r="742" spans="2:8" ht="78" customHeight="1">
      <c r="B742" s="152"/>
      <c r="C742" s="153"/>
      <c r="D742" s="149"/>
      <c r="F742" s="154"/>
      <c r="G742" s="155"/>
    </row>
    <row r="743" spans="2:8" ht="78" customHeight="1">
      <c r="B743" s="152"/>
      <c r="C743" s="153"/>
      <c r="D743" s="149"/>
      <c r="F743" s="154"/>
      <c r="G743" s="155"/>
    </row>
    <row r="744" spans="2:8" ht="78" customHeight="1">
      <c r="B744" s="152"/>
      <c r="C744" s="152"/>
      <c r="D744" s="149"/>
      <c r="F744" s="222"/>
      <c r="G744" s="155"/>
    </row>
    <row r="745" spans="2:8" ht="78" customHeight="1">
      <c r="B745" s="152"/>
      <c r="C745" s="152"/>
      <c r="D745" s="149"/>
      <c r="F745" s="222"/>
      <c r="G745" s="155"/>
    </row>
    <row r="746" spans="2:8" ht="78" customHeight="1">
      <c r="B746" s="152"/>
      <c r="C746" s="152"/>
      <c r="D746" s="149"/>
      <c r="F746" s="154"/>
      <c r="G746" s="155"/>
    </row>
    <row r="747" spans="2:8" ht="78" customHeight="1">
      <c r="B747" s="152"/>
      <c r="C747" s="152"/>
      <c r="D747" s="149"/>
      <c r="F747" s="222"/>
      <c r="G747" s="155"/>
    </row>
    <row r="748" spans="2:8" ht="78" customHeight="1">
      <c r="B748" s="152"/>
      <c r="C748" s="152"/>
      <c r="D748" s="149"/>
      <c r="F748" s="222"/>
      <c r="G748" s="155"/>
    </row>
    <row r="749" spans="2:8" ht="78" customHeight="1">
      <c r="B749" s="152"/>
      <c r="C749" s="152"/>
      <c r="D749" s="149"/>
      <c r="F749" s="154"/>
      <c r="G749" s="155"/>
    </row>
    <row r="750" spans="2:8" ht="78" customHeight="1">
      <c r="B750" s="152"/>
      <c r="C750" s="152"/>
      <c r="D750" s="149"/>
      <c r="F750" s="154"/>
      <c r="G750" s="155"/>
    </row>
    <row r="751" spans="2:8" ht="78" customHeight="1">
      <c r="B751" s="152"/>
      <c r="C751" s="152"/>
      <c r="D751" s="149"/>
      <c r="F751" s="154"/>
      <c r="G751" s="155"/>
    </row>
    <row r="752" spans="2:8" ht="78" customHeight="1">
      <c r="B752" s="152"/>
      <c r="C752" s="153"/>
      <c r="D752" s="149"/>
      <c r="F752" s="154"/>
      <c r="G752" s="155"/>
      <c r="H752" s="154"/>
    </row>
    <row r="753" spans="2:8" ht="78" customHeight="1">
      <c r="B753" s="152"/>
      <c r="C753" s="152"/>
      <c r="D753" s="149"/>
      <c r="F753" s="222"/>
      <c r="G753" s="155"/>
    </row>
    <row r="754" spans="2:8" ht="78" customHeight="1">
      <c r="B754" s="152"/>
      <c r="C754" s="152"/>
      <c r="D754" s="149"/>
      <c r="G754" s="155"/>
      <c r="H754" s="154"/>
    </row>
    <row r="755" spans="2:8" ht="78" customHeight="1">
      <c r="B755" s="152"/>
      <c r="C755" s="152"/>
      <c r="D755" s="149"/>
      <c r="F755" s="154"/>
      <c r="G755" s="155"/>
    </row>
    <row r="756" spans="2:8" ht="78" customHeight="1">
      <c r="B756" s="152"/>
      <c r="C756" s="152"/>
      <c r="D756" s="149"/>
      <c r="F756" s="154"/>
      <c r="G756" s="155"/>
    </row>
    <row r="757" spans="2:8" ht="78" customHeight="1">
      <c r="B757" s="152"/>
      <c r="C757" s="152"/>
      <c r="D757" s="149"/>
      <c r="F757" s="154"/>
      <c r="G757" s="155"/>
    </row>
    <row r="758" spans="2:8" ht="78" customHeight="1">
      <c r="B758" s="152"/>
      <c r="C758" s="153"/>
      <c r="D758" s="149"/>
      <c r="F758" s="154"/>
      <c r="G758" s="155"/>
      <c r="H758" s="154"/>
    </row>
    <row r="759" spans="2:8" ht="78" customHeight="1">
      <c r="B759" s="152"/>
      <c r="C759" s="153"/>
      <c r="D759" s="149"/>
      <c r="F759" s="154"/>
      <c r="G759" s="155"/>
    </row>
    <row r="760" spans="2:8" ht="78" customHeight="1">
      <c r="B760" s="152"/>
      <c r="C760" s="152"/>
      <c r="D760" s="149"/>
      <c r="F760" s="154"/>
      <c r="G760" s="155"/>
    </row>
    <row r="761" spans="2:8" ht="78" customHeight="1">
      <c r="B761" s="152"/>
      <c r="C761" s="152"/>
      <c r="D761" s="149"/>
      <c r="F761" s="222"/>
      <c r="G761" s="155"/>
    </row>
    <row r="762" spans="2:8" ht="78" customHeight="1">
      <c r="B762" s="152"/>
      <c r="C762" s="152"/>
      <c r="D762" s="149"/>
      <c r="F762" s="222"/>
      <c r="G762" s="155"/>
    </row>
    <row r="763" spans="2:8" ht="78" customHeight="1">
      <c r="B763" s="152"/>
      <c r="C763" s="152"/>
      <c r="D763" s="149"/>
      <c r="F763" s="154"/>
      <c r="G763" s="155"/>
    </row>
    <row r="764" spans="2:8" ht="78" customHeight="1">
      <c r="B764" s="152"/>
      <c r="C764" s="152"/>
      <c r="D764" s="149"/>
      <c r="F764" s="154"/>
      <c r="G764" s="155"/>
    </row>
    <row r="765" spans="2:8" ht="78" customHeight="1">
      <c r="B765" s="152"/>
      <c r="C765" s="152"/>
      <c r="D765" s="149"/>
      <c r="F765" s="154"/>
      <c r="G765" s="155"/>
    </row>
    <row r="766" spans="2:8" ht="78" customHeight="1">
      <c r="B766" s="152"/>
      <c r="C766" s="152"/>
      <c r="D766" s="149"/>
      <c r="F766" s="154"/>
      <c r="G766" s="155"/>
    </row>
    <row r="767" spans="2:8" ht="78" customHeight="1">
      <c r="B767" s="152"/>
      <c r="C767" s="152"/>
      <c r="D767" s="149"/>
      <c r="F767" s="154"/>
      <c r="G767" s="155"/>
    </row>
    <row r="768" spans="2:8" ht="78" customHeight="1">
      <c r="B768" s="152"/>
      <c r="C768" s="152"/>
      <c r="D768" s="149"/>
      <c r="F768" s="154"/>
      <c r="G768" s="155"/>
    </row>
    <row r="769" spans="2:8" ht="78" customHeight="1">
      <c r="B769" s="152"/>
      <c r="C769" s="153"/>
      <c r="D769" s="149"/>
      <c r="F769" s="154"/>
      <c r="G769" s="155"/>
    </row>
    <row r="770" spans="2:8" ht="78" customHeight="1">
      <c r="B770" s="152"/>
      <c r="C770" s="152"/>
      <c r="D770" s="149"/>
      <c r="G770" s="155"/>
      <c r="H770" s="154"/>
    </row>
    <row r="771" spans="2:8" ht="78" customHeight="1">
      <c r="B771" s="152"/>
      <c r="C771" s="152"/>
      <c r="D771" s="149"/>
      <c r="G771" s="155"/>
    </row>
    <row r="772" spans="2:8" ht="78" customHeight="1">
      <c r="B772" s="152"/>
      <c r="C772" s="153"/>
      <c r="D772" s="149"/>
      <c r="F772" s="154"/>
      <c r="G772" s="155"/>
    </row>
    <row r="773" spans="2:8" ht="78" customHeight="1">
      <c r="B773" s="152"/>
      <c r="C773" s="152"/>
      <c r="D773" s="149"/>
      <c r="F773" s="154"/>
      <c r="G773" s="155"/>
      <c r="H773" s="154"/>
    </row>
    <row r="774" spans="2:8" ht="78" customHeight="1">
      <c r="B774" s="152"/>
      <c r="C774" s="152"/>
      <c r="D774" s="149"/>
      <c r="F774" s="154"/>
      <c r="G774" s="155"/>
    </row>
    <row r="775" spans="2:8" ht="78" customHeight="1">
      <c r="B775" s="152"/>
      <c r="C775" s="152"/>
      <c r="D775" s="149"/>
      <c r="F775" s="154"/>
      <c r="G775" s="155"/>
    </row>
    <row r="776" spans="2:8" ht="78" customHeight="1">
      <c r="B776" s="152"/>
      <c r="C776" s="152"/>
      <c r="D776" s="149"/>
      <c r="F776" s="154"/>
      <c r="G776" s="155"/>
      <c r="H776" s="154"/>
    </row>
    <row r="777" spans="2:8" ht="78" customHeight="1">
      <c r="B777" s="152"/>
      <c r="C777" s="152"/>
      <c r="D777" s="149"/>
      <c r="F777" s="154"/>
      <c r="G777" s="155"/>
    </row>
    <row r="778" spans="2:8" ht="78" customHeight="1">
      <c r="B778" s="152"/>
      <c r="C778" s="152"/>
      <c r="D778" s="149"/>
      <c r="G778" s="155"/>
      <c r="H778" s="154"/>
    </row>
    <row r="779" spans="2:8" ht="78" customHeight="1">
      <c r="B779" s="152"/>
      <c r="C779" s="152"/>
      <c r="D779" s="149"/>
      <c r="F779" s="154"/>
      <c r="G779" s="155"/>
    </row>
    <row r="780" spans="2:8" ht="78" customHeight="1">
      <c r="B780" s="152"/>
      <c r="C780" s="152"/>
      <c r="D780" s="149"/>
      <c r="F780" s="154"/>
      <c r="G780" s="155"/>
    </row>
    <row r="781" spans="2:8" ht="78" customHeight="1">
      <c r="B781" s="152"/>
      <c r="C781" s="152"/>
      <c r="D781" s="149"/>
      <c r="F781" s="154"/>
      <c r="G781" s="155"/>
      <c r="H781" s="154"/>
    </row>
    <row r="782" spans="2:8" ht="78" customHeight="1">
      <c r="B782" s="152"/>
      <c r="C782" s="152"/>
      <c r="D782" s="149"/>
      <c r="F782" s="154"/>
      <c r="G782" s="155"/>
    </row>
    <row r="783" spans="2:8" ht="78" customHeight="1">
      <c r="B783" s="152"/>
      <c r="C783" s="152"/>
      <c r="D783" s="149"/>
      <c r="F783" s="154"/>
      <c r="G783" s="155"/>
    </row>
    <row r="784" spans="2:8" ht="78" customHeight="1">
      <c r="B784" s="152"/>
      <c r="C784" s="152"/>
      <c r="D784" s="149"/>
      <c r="F784" s="154"/>
      <c r="G784" s="155"/>
    </row>
    <row r="785" spans="2:8" ht="78" customHeight="1">
      <c r="B785" s="152"/>
      <c r="C785" s="152"/>
      <c r="D785" s="149"/>
      <c r="F785" s="154"/>
      <c r="G785" s="155"/>
    </row>
    <row r="786" spans="2:8" ht="78" customHeight="1">
      <c r="B786" s="152"/>
      <c r="C786" s="152"/>
      <c r="D786" s="149"/>
      <c r="F786" s="154"/>
      <c r="G786" s="155"/>
    </row>
    <row r="787" spans="2:8" ht="78" customHeight="1">
      <c r="B787" s="152"/>
      <c r="C787" s="152"/>
      <c r="D787" s="149"/>
      <c r="F787" s="154"/>
      <c r="G787" s="155"/>
    </row>
    <row r="788" spans="2:8" ht="78" customHeight="1">
      <c r="B788" s="152"/>
      <c r="C788" s="153"/>
      <c r="D788" s="149"/>
      <c r="G788" s="155"/>
      <c r="H788" s="154"/>
    </row>
    <row r="789" spans="2:8" ht="78" customHeight="1">
      <c r="B789" s="152"/>
      <c r="C789" s="153"/>
      <c r="D789" s="149"/>
      <c r="G789" s="155"/>
    </row>
    <row r="790" spans="2:8" ht="78" customHeight="1">
      <c r="B790" s="152"/>
      <c r="C790" s="152"/>
      <c r="D790" s="149"/>
      <c r="G790" s="155"/>
    </row>
    <row r="791" spans="2:8" ht="78" customHeight="1">
      <c r="B791" s="152"/>
      <c r="C791" s="152"/>
      <c r="D791" s="149"/>
      <c r="G791" s="155"/>
      <c r="H791" s="154"/>
    </row>
    <row r="792" spans="2:8" ht="78" customHeight="1">
      <c r="B792" s="152"/>
      <c r="C792" s="152"/>
      <c r="D792" s="149"/>
      <c r="F792" s="154"/>
      <c r="G792" s="155"/>
    </row>
    <row r="793" spans="2:8" ht="78" customHeight="1">
      <c r="B793" s="152"/>
      <c r="C793" s="152"/>
      <c r="D793" s="149"/>
      <c r="F793" s="154"/>
      <c r="G793" s="155"/>
    </row>
    <row r="794" spans="2:8" ht="78" customHeight="1">
      <c r="B794" s="152"/>
      <c r="C794" s="152"/>
      <c r="D794" s="149"/>
      <c r="F794" s="154"/>
      <c r="G794" s="155"/>
    </row>
    <row r="795" spans="2:8" ht="78" customHeight="1">
      <c r="B795" s="152"/>
      <c r="C795" s="153"/>
      <c r="D795" s="149"/>
      <c r="F795" s="154"/>
      <c r="G795" s="155"/>
      <c r="H795" s="154"/>
    </row>
    <row r="796" spans="2:8" ht="78" customHeight="1">
      <c r="B796" s="152"/>
      <c r="C796" s="152"/>
      <c r="D796" s="149"/>
      <c r="F796" s="154"/>
      <c r="G796" s="155"/>
    </row>
    <row r="797" spans="2:8" ht="78" customHeight="1">
      <c r="B797" s="152"/>
      <c r="C797" s="152"/>
      <c r="D797" s="149"/>
      <c r="F797" s="154"/>
      <c r="G797" s="155"/>
    </row>
    <row r="798" spans="2:8" ht="78" customHeight="1">
      <c r="B798" s="152"/>
      <c r="C798" s="153"/>
      <c r="D798" s="149"/>
      <c r="G798" s="155"/>
    </row>
    <row r="799" spans="2:8" ht="78" customHeight="1">
      <c r="B799" s="152"/>
      <c r="C799" s="152"/>
      <c r="D799" s="149"/>
      <c r="F799" s="154"/>
      <c r="G799" s="155"/>
      <c r="H799" s="154"/>
    </row>
    <row r="800" spans="2:8" ht="78" customHeight="1">
      <c r="B800" s="152"/>
      <c r="C800" s="152"/>
      <c r="D800" s="149"/>
      <c r="F800" s="154"/>
      <c r="G800" s="155"/>
    </row>
    <row r="801" spans="2:8" ht="78" customHeight="1">
      <c r="B801" s="152"/>
      <c r="C801" s="152"/>
      <c r="D801" s="149"/>
      <c r="F801" s="154"/>
      <c r="G801" s="155"/>
    </row>
    <row r="802" spans="2:8" ht="78" customHeight="1">
      <c r="B802" s="152"/>
      <c r="C802" s="152"/>
      <c r="D802" s="149"/>
      <c r="F802" s="154"/>
      <c r="G802" s="155"/>
    </row>
    <row r="803" spans="2:8" ht="78" customHeight="1">
      <c r="B803" s="152"/>
      <c r="C803" s="153"/>
      <c r="D803" s="149"/>
      <c r="F803" s="154"/>
      <c r="G803" s="155"/>
    </row>
    <row r="804" spans="2:8" ht="78" customHeight="1">
      <c r="B804" s="152"/>
      <c r="C804" s="152"/>
      <c r="D804" s="149"/>
      <c r="F804" s="222"/>
      <c r="G804" s="155"/>
    </row>
    <row r="805" spans="2:8" ht="78" customHeight="1">
      <c r="B805" s="152"/>
      <c r="C805" s="152"/>
      <c r="D805" s="149"/>
      <c r="F805" s="222"/>
      <c r="G805" s="155"/>
    </row>
    <row r="806" spans="2:8" ht="78" customHeight="1">
      <c r="B806" s="152"/>
      <c r="C806" s="153"/>
      <c r="D806" s="149"/>
      <c r="F806" s="154"/>
      <c r="G806" s="155"/>
    </row>
    <row r="807" spans="2:8" ht="78" customHeight="1">
      <c r="B807" s="152"/>
      <c r="C807" s="152"/>
      <c r="D807" s="149"/>
      <c r="F807" s="154"/>
      <c r="G807" s="155"/>
    </row>
    <row r="808" spans="2:8" ht="78" customHeight="1">
      <c r="B808" s="152"/>
      <c r="C808" s="153"/>
      <c r="D808" s="149"/>
      <c r="F808" s="154"/>
      <c r="G808" s="155"/>
    </row>
    <row r="809" spans="2:8" ht="78" customHeight="1">
      <c r="B809" s="152"/>
      <c r="C809" s="152"/>
      <c r="D809" s="149"/>
      <c r="F809" s="222"/>
      <c r="G809" s="155"/>
    </row>
    <row r="810" spans="2:8" ht="78" customHeight="1">
      <c r="B810" s="152"/>
      <c r="C810" s="152"/>
      <c r="D810" s="149"/>
      <c r="F810" s="222"/>
      <c r="G810" s="155"/>
      <c r="H810" s="154"/>
    </row>
    <row r="811" spans="2:8" ht="78" customHeight="1">
      <c r="B811" s="152"/>
      <c r="C811" s="152"/>
      <c r="D811" s="149"/>
      <c r="F811" s="154"/>
      <c r="G811" s="155"/>
    </row>
    <row r="812" spans="2:8" ht="78" customHeight="1">
      <c r="B812" s="152"/>
      <c r="C812" s="153"/>
      <c r="D812" s="149"/>
      <c r="F812" s="154"/>
      <c r="G812" s="155"/>
    </row>
    <row r="813" spans="2:8" ht="78" customHeight="1">
      <c r="B813" s="152"/>
      <c r="C813" s="153"/>
      <c r="D813" s="149"/>
      <c r="F813" s="154"/>
      <c r="G813" s="155"/>
      <c r="H813" s="154"/>
    </row>
    <row r="814" spans="2:8" ht="78" customHeight="1">
      <c r="B814" s="152"/>
      <c r="C814" s="153"/>
      <c r="D814" s="149"/>
      <c r="F814" s="154"/>
      <c r="G814" s="155"/>
    </row>
    <row r="815" spans="2:8" ht="78" customHeight="1">
      <c r="B815" s="152"/>
      <c r="C815" s="152"/>
      <c r="D815" s="149"/>
      <c r="F815" s="222"/>
      <c r="G815" s="155"/>
    </row>
    <row r="816" spans="2:8" ht="78" customHeight="1">
      <c r="B816" s="152"/>
      <c r="C816" s="152"/>
      <c r="D816" s="149"/>
      <c r="F816" s="222"/>
      <c r="G816" s="155"/>
    </row>
    <row r="817" spans="1:9" ht="78" customHeight="1">
      <c r="A817" s="290"/>
      <c r="B817" s="153"/>
      <c r="C817" s="152"/>
      <c r="D817" s="149"/>
      <c r="F817" s="291"/>
      <c r="G817" s="155"/>
      <c r="H817" s="291"/>
      <c r="I817" s="292"/>
    </row>
    <row r="818" spans="1:9" ht="78" customHeight="1">
      <c r="A818" s="290"/>
      <c r="B818" s="153"/>
      <c r="C818" s="152"/>
      <c r="D818" s="149"/>
      <c r="F818" s="291"/>
      <c r="G818" s="155"/>
      <c r="H818" s="291"/>
      <c r="I818" s="292"/>
    </row>
    <row r="819" spans="1:9" ht="78" customHeight="1">
      <c r="A819" s="290"/>
      <c r="B819" s="153"/>
      <c r="C819" s="152"/>
      <c r="D819" s="149"/>
      <c r="F819" s="291"/>
      <c r="G819" s="155"/>
      <c r="H819" s="291"/>
      <c r="I819" s="292"/>
    </row>
    <row r="820" spans="1:9" ht="78" customHeight="1">
      <c r="A820" s="290"/>
      <c r="B820" s="153"/>
      <c r="C820" s="153"/>
      <c r="D820" s="149"/>
      <c r="F820" s="222"/>
      <c r="G820" s="155"/>
      <c r="H820" s="291"/>
      <c r="I820" s="292"/>
    </row>
    <row r="821" spans="1:9" ht="78" customHeight="1">
      <c r="A821" s="290"/>
      <c r="B821" s="153"/>
      <c r="C821" s="153"/>
      <c r="D821" s="149"/>
      <c r="F821" s="222"/>
      <c r="G821" s="155"/>
      <c r="H821" s="293"/>
      <c r="I821" s="292"/>
    </row>
    <row r="822" spans="1:9" ht="78" customHeight="1">
      <c r="B822" s="152"/>
      <c r="C822" s="153"/>
      <c r="D822" s="149"/>
      <c r="F822" s="154"/>
      <c r="G822" s="155"/>
    </row>
    <row r="823" spans="1:9" ht="78" customHeight="1">
      <c r="B823" s="152"/>
      <c r="C823" s="153"/>
      <c r="D823" s="149"/>
      <c r="F823" s="154"/>
      <c r="G823" s="155"/>
    </row>
    <row r="824" spans="1:9" ht="78" customHeight="1">
      <c r="B824" s="152"/>
      <c r="C824" s="152"/>
      <c r="D824" s="149"/>
      <c r="F824" s="222"/>
      <c r="G824" s="155"/>
    </row>
    <row r="825" spans="1:9" ht="78" customHeight="1">
      <c r="B825" s="152"/>
      <c r="C825" s="152"/>
      <c r="D825" s="149"/>
      <c r="F825" s="222"/>
      <c r="G825" s="155"/>
      <c r="H825" s="154"/>
    </row>
    <row r="826" spans="1:9" ht="78" customHeight="1">
      <c r="B826" s="152"/>
      <c r="C826" s="152"/>
      <c r="D826" s="149"/>
      <c r="F826" s="154"/>
      <c r="G826" s="155"/>
    </row>
    <row r="827" spans="1:9" ht="78" customHeight="1">
      <c r="B827" s="152"/>
      <c r="C827" s="152"/>
      <c r="D827" s="149"/>
      <c r="F827" s="154"/>
      <c r="G827" s="155"/>
    </row>
    <row r="828" spans="1:9" ht="78" customHeight="1">
      <c r="B828" s="152"/>
      <c r="C828" s="152"/>
      <c r="D828" s="149"/>
      <c r="F828" s="154"/>
      <c r="G828" s="155"/>
    </row>
    <row r="829" spans="1:9" ht="78" customHeight="1">
      <c r="B829" s="152"/>
      <c r="C829" s="153"/>
      <c r="D829" s="149"/>
      <c r="F829" s="154"/>
      <c r="G829" s="155"/>
    </row>
    <row r="830" spans="1:9" ht="78" customHeight="1">
      <c r="B830" s="152"/>
      <c r="C830" s="152"/>
      <c r="D830" s="149"/>
      <c r="F830" s="154"/>
      <c r="G830" s="155"/>
    </row>
    <row r="831" spans="1:9" ht="78" customHeight="1">
      <c r="B831" s="152"/>
      <c r="C831" s="153"/>
      <c r="D831" s="149"/>
      <c r="F831" s="154"/>
      <c r="G831" s="155"/>
    </row>
    <row r="832" spans="1:9" ht="78" customHeight="1">
      <c r="B832" s="152"/>
      <c r="C832" s="152"/>
      <c r="D832" s="149"/>
      <c r="F832" s="222"/>
      <c r="G832" s="155"/>
    </row>
    <row r="833" spans="2:8" ht="78" customHeight="1">
      <c r="B833" s="152"/>
      <c r="C833" s="152"/>
      <c r="D833" s="149"/>
      <c r="F833" s="222"/>
      <c r="G833" s="155"/>
    </row>
    <row r="834" spans="2:8" ht="78" customHeight="1">
      <c r="B834" s="152"/>
      <c r="C834" s="153"/>
      <c r="D834" s="149"/>
      <c r="F834" s="154"/>
      <c r="G834" s="155"/>
      <c r="H834" s="154"/>
    </row>
    <row r="835" spans="2:8" ht="78" customHeight="1">
      <c r="B835" s="152"/>
      <c r="C835" s="152"/>
      <c r="D835" s="149"/>
      <c r="F835" s="154"/>
      <c r="G835" s="155"/>
    </row>
    <row r="836" spans="2:8" ht="78" customHeight="1">
      <c r="B836" s="152"/>
      <c r="C836" s="153"/>
      <c r="D836" s="149"/>
      <c r="F836" s="154"/>
      <c r="G836" s="155"/>
    </row>
    <row r="837" spans="2:8" ht="78" customHeight="1">
      <c r="B837" s="152"/>
      <c r="C837" s="153"/>
      <c r="D837" s="149"/>
      <c r="F837" s="154"/>
      <c r="G837" s="155"/>
      <c r="H837" s="154"/>
    </row>
    <row r="838" spans="2:8" ht="78" customHeight="1">
      <c r="B838" s="152"/>
      <c r="C838" s="153"/>
      <c r="D838" s="149"/>
      <c r="F838" s="154"/>
      <c r="G838" s="155"/>
    </row>
    <row r="839" spans="2:8" ht="78" customHeight="1">
      <c r="B839" s="152"/>
      <c r="C839" s="153"/>
      <c r="D839" s="149"/>
      <c r="F839" s="154"/>
      <c r="G839" s="155"/>
    </row>
    <row r="840" spans="2:8" ht="78" customHeight="1">
      <c r="B840" s="152"/>
      <c r="C840" s="153"/>
      <c r="D840" s="149"/>
      <c r="F840" s="154"/>
      <c r="G840" s="155"/>
    </row>
    <row r="841" spans="2:8" ht="78" customHeight="1">
      <c r="B841" s="152"/>
      <c r="C841" s="153"/>
      <c r="D841" s="149"/>
      <c r="F841" s="154"/>
      <c r="G841" s="155"/>
    </row>
    <row r="842" spans="2:8" ht="78" customHeight="1">
      <c r="B842" s="152"/>
      <c r="C842" s="153"/>
      <c r="D842" s="149"/>
      <c r="F842" s="154"/>
      <c r="G842" s="155"/>
    </row>
    <row r="843" spans="2:8" ht="78" customHeight="1">
      <c r="B843" s="152"/>
      <c r="C843" s="153"/>
      <c r="D843" s="149"/>
      <c r="G843" s="155"/>
    </row>
    <row r="844" spans="2:8" ht="78" customHeight="1">
      <c r="B844" s="152"/>
      <c r="C844" s="153"/>
      <c r="D844" s="149"/>
      <c r="F844" s="154"/>
      <c r="G844" s="155"/>
    </row>
    <row r="845" spans="2:8" ht="78" customHeight="1">
      <c r="B845" s="152"/>
      <c r="C845" s="153"/>
      <c r="D845" s="149"/>
      <c r="F845" s="154"/>
      <c r="G845" s="155"/>
    </row>
    <row r="846" spans="2:8" ht="78" customHeight="1">
      <c r="B846" s="152"/>
      <c r="C846" s="153"/>
      <c r="D846" s="149"/>
      <c r="F846" s="154"/>
      <c r="G846" s="155"/>
    </row>
    <row r="847" spans="2:8" ht="78" customHeight="1">
      <c r="B847" s="152"/>
      <c r="C847" s="153"/>
      <c r="D847" s="149"/>
      <c r="G847" s="155"/>
    </row>
    <row r="848" spans="2:8" ht="78" customHeight="1">
      <c r="B848" s="152"/>
      <c r="C848" s="153"/>
      <c r="D848" s="149"/>
      <c r="F848" s="154"/>
      <c r="G848" s="155"/>
      <c r="H848" s="154"/>
    </row>
    <row r="849" spans="2:8" ht="78" customHeight="1">
      <c r="B849" s="152"/>
      <c r="C849" s="152"/>
      <c r="D849" s="149"/>
      <c r="G849" s="155"/>
    </row>
    <row r="850" spans="2:8" ht="78" customHeight="1">
      <c r="B850" s="152"/>
      <c r="C850" s="152"/>
      <c r="D850" s="149"/>
      <c r="G850" s="155"/>
    </row>
    <row r="851" spans="2:8" ht="78" customHeight="1">
      <c r="B851" s="152"/>
      <c r="C851" s="152"/>
      <c r="D851" s="149"/>
      <c r="G851" s="155"/>
    </row>
    <row r="852" spans="2:8" ht="78" customHeight="1">
      <c r="B852" s="152"/>
      <c r="C852" s="152"/>
      <c r="D852" s="149"/>
      <c r="G852" s="155"/>
    </row>
    <row r="853" spans="2:8" ht="78" customHeight="1">
      <c r="B853" s="152"/>
      <c r="C853" s="153"/>
      <c r="D853" s="149"/>
      <c r="F853" s="154"/>
      <c r="G853" s="155"/>
    </row>
    <row r="854" spans="2:8" ht="78" customHeight="1">
      <c r="B854" s="152"/>
      <c r="C854" s="152"/>
      <c r="D854" s="149"/>
      <c r="G854" s="155"/>
      <c r="H854" s="154"/>
    </row>
    <row r="855" spans="2:8" ht="78" customHeight="1">
      <c r="B855" s="152"/>
      <c r="C855" s="152"/>
      <c r="D855" s="149"/>
      <c r="F855" s="154"/>
      <c r="G855" s="155"/>
      <c r="H855" s="154"/>
    </row>
    <row r="856" spans="2:8" ht="78" customHeight="1">
      <c r="B856" s="152"/>
      <c r="C856" s="153"/>
      <c r="D856" s="149"/>
      <c r="F856" s="154"/>
      <c r="G856" s="155"/>
    </row>
    <row r="857" spans="2:8" ht="78" customHeight="1">
      <c r="B857" s="152"/>
      <c r="C857" s="152"/>
      <c r="D857" s="149"/>
      <c r="F857" s="154"/>
      <c r="G857" s="155"/>
      <c r="H857" s="154"/>
    </row>
    <row r="858" spans="2:8" ht="78" customHeight="1">
      <c r="B858" s="152"/>
      <c r="C858" s="152"/>
      <c r="D858" s="149"/>
      <c r="F858" s="154"/>
      <c r="G858" s="155"/>
    </row>
    <row r="859" spans="2:8" ht="78" customHeight="1">
      <c r="B859" s="152"/>
      <c r="C859" s="152"/>
      <c r="D859" s="149"/>
      <c r="F859" s="154"/>
      <c r="G859" s="155"/>
      <c r="H859" s="154"/>
    </row>
    <row r="860" spans="2:8" ht="78" customHeight="1">
      <c r="B860" s="152"/>
      <c r="C860" s="152"/>
      <c r="D860" s="149"/>
      <c r="G860" s="155"/>
      <c r="H860" s="154"/>
    </row>
    <row r="861" spans="2:8" ht="78" customHeight="1">
      <c r="B861" s="152"/>
      <c r="C861" s="152"/>
      <c r="D861" s="149"/>
      <c r="F861" s="154"/>
      <c r="G861" s="155"/>
    </row>
    <row r="862" spans="2:8" ht="78" customHeight="1">
      <c r="B862" s="152"/>
      <c r="C862" s="153"/>
      <c r="D862" s="149"/>
      <c r="F862" s="154"/>
      <c r="G862" s="155"/>
    </row>
    <row r="863" spans="2:8" ht="78" customHeight="1">
      <c r="B863" s="152"/>
      <c r="C863" s="152"/>
      <c r="D863" s="149"/>
      <c r="G863" s="155"/>
      <c r="H863" s="154"/>
    </row>
    <row r="864" spans="2:8" ht="78" customHeight="1">
      <c r="B864" s="152"/>
      <c r="C864" s="153"/>
      <c r="D864" s="149"/>
      <c r="F864" s="154"/>
      <c r="G864" s="155"/>
      <c r="H864" s="154"/>
    </row>
    <row r="865" spans="2:8" ht="78" customHeight="1">
      <c r="B865" s="152"/>
      <c r="C865" s="152"/>
      <c r="D865" s="149"/>
      <c r="F865" s="154"/>
      <c r="G865" s="155"/>
    </row>
    <row r="866" spans="2:8" ht="78" customHeight="1">
      <c r="B866" s="152"/>
      <c r="C866" s="152"/>
      <c r="D866" s="149"/>
      <c r="F866" s="154"/>
      <c r="G866" s="155"/>
    </row>
    <row r="867" spans="2:8" ht="78" customHeight="1">
      <c r="B867" s="152"/>
      <c r="C867" s="152"/>
      <c r="D867" s="149"/>
      <c r="F867" s="154"/>
      <c r="G867" s="155"/>
    </row>
    <row r="868" spans="2:8" ht="78" customHeight="1">
      <c r="B868" s="152"/>
      <c r="C868" s="152"/>
      <c r="D868" s="149"/>
      <c r="F868" s="154"/>
      <c r="G868" s="155"/>
    </row>
    <row r="869" spans="2:8" ht="78" customHeight="1">
      <c r="B869" s="152"/>
      <c r="C869" s="152"/>
      <c r="D869" s="149"/>
      <c r="F869" s="154"/>
      <c r="G869" s="155"/>
    </row>
    <row r="870" spans="2:8" ht="78" customHeight="1">
      <c r="B870" s="152"/>
      <c r="C870" s="152"/>
      <c r="D870" s="149"/>
      <c r="F870" s="154"/>
      <c r="G870" s="155"/>
    </row>
    <row r="871" spans="2:8" ht="78" customHeight="1">
      <c r="B871" s="152"/>
      <c r="C871" s="152"/>
      <c r="D871" s="149"/>
      <c r="F871" s="154"/>
      <c r="G871" s="155"/>
    </row>
    <row r="872" spans="2:8" ht="78" customHeight="1">
      <c r="B872" s="152"/>
      <c r="C872" s="152"/>
      <c r="D872" s="149"/>
      <c r="F872" s="154"/>
      <c r="G872" s="155"/>
    </row>
    <row r="873" spans="2:8" ht="78" customHeight="1">
      <c r="B873" s="152"/>
      <c r="C873" s="152"/>
      <c r="D873" s="149"/>
      <c r="F873" s="154"/>
      <c r="G873" s="155"/>
    </row>
    <row r="874" spans="2:8" ht="78" customHeight="1">
      <c r="B874" s="152"/>
      <c r="C874" s="152"/>
      <c r="D874" s="280"/>
      <c r="G874" s="155"/>
      <c r="H874" s="154"/>
    </row>
    <row r="875" spans="2:8" ht="78" customHeight="1">
      <c r="B875" s="152"/>
      <c r="C875" s="152"/>
      <c r="D875" s="149"/>
      <c r="G875" s="155"/>
    </row>
    <row r="876" spans="2:8" ht="78" customHeight="1">
      <c r="B876" s="152"/>
      <c r="C876" s="152"/>
      <c r="D876" s="149"/>
      <c r="G876" s="155"/>
      <c r="H876" s="154"/>
    </row>
    <row r="877" spans="2:8" ht="78" customHeight="1">
      <c r="B877" s="152"/>
      <c r="C877" s="152"/>
      <c r="D877" s="149"/>
      <c r="F877" s="154"/>
      <c r="G877" s="155"/>
    </row>
    <row r="878" spans="2:8" ht="78" customHeight="1">
      <c r="B878" s="152"/>
      <c r="C878" s="152"/>
      <c r="D878" s="149"/>
      <c r="F878" s="154"/>
      <c r="G878" s="155"/>
    </row>
    <row r="879" spans="2:8" ht="78" customHeight="1">
      <c r="B879" s="152"/>
      <c r="C879" s="152"/>
      <c r="D879" s="149"/>
      <c r="F879" s="154"/>
      <c r="G879" s="155"/>
    </row>
    <row r="880" spans="2:8" ht="78" customHeight="1">
      <c r="B880" s="152"/>
      <c r="C880" s="152"/>
      <c r="D880" s="149"/>
      <c r="F880" s="154"/>
      <c r="G880" s="155"/>
    </row>
    <row r="881" spans="2:8" ht="78" customHeight="1">
      <c r="B881" s="152"/>
      <c r="C881" s="152"/>
      <c r="D881" s="149"/>
      <c r="F881" s="154"/>
      <c r="G881" s="155"/>
    </row>
    <row r="882" spans="2:8" ht="78" customHeight="1">
      <c r="B882" s="152"/>
      <c r="C882" s="152"/>
      <c r="D882" s="149"/>
      <c r="F882" s="294"/>
      <c r="G882" s="155"/>
    </row>
    <row r="883" spans="2:8" ht="78" customHeight="1">
      <c r="B883" s="152"/>
      <c r="C883" s="152"/>
      <c r="D883" s="149"/>
      <c r="F883" s="154"/>
      <c r="G883" s="155"/>
    </row>
    <row r="884" spans="2:8" ht="78" customHeight="1">
      <c r="B884" s="152"/>
      <c r="C884" s="152"/>
      <c r="D884" s="149"/>
      <c r="F884" s="154"/>
      <c r="G884" s="155"/>
      <c r="H884" s="154"/>
    </row>
    <row r="885" spans="2:8" ht="78" customHeight="1">
      <c r="B885" s="152"/>
      <c r="C885" s="153"/>
      <c r="D885" s="149"/>
      <c r="F885" s="154"/>
      <c r="G885" s="155"/>
    </row>
    <row r="886" spans="2:8" ht="78" customHeight="1">
      <c r="B886" s="152"/>
      <c r="C886" s="152"/>
      <c r="D886" s="149"/>
      <c r="G886" s="155"/>
      <c r="H886" s="154"/>
    </row>
    <row r="887" spans="2:8" ht="78" customHeight="1">
      <c r="B887" s="152"/>
      <c r="C887" s="152"/>
      <c r="D887" s="149"/>
      <c r="F887" s="154"/>
      <c r="G887" s="155"/>
    </row>
    <row r="888" spans="2:8" ht="78" customHeight="1">
      <c r="B888" s="152"/>
      <c r="C888" s="152"/>
      <c r="D888" s="149"/>
      <c r="G888" s="155"/>
      <c r="H888" s="154"/>
    </row>
    <row r="889" spans="2:8" ht="78" customHeight="1">
      <c r="B889" s="152"/>
      <c r="C889" s="152"/>
      <c r="D889" s="152"/>
      <c r="F889" s="154"/>
      <c r="G889" s="155"/>
    </row>
    <row r="890" spans="2:8" ht="78" customHeight="1">
      <c r="B890" s="152"/>
      <c r="C890" s="152"/>
      <c r="D890" s="149"/>
      <c r="F890" s="154"/>
      <c r="G890" s="155"/>
    </row>
    <row r="891" spans="2:8" ht="78" customHeight="1">
      <c r="B891" s="152"/>
      <c r="C891" s="152"/>
      <c r="D891" s="149"/>
      <c r="F891" s="154"/>
      <c r="G891" s="155"/>
    </row>
    <row r="892" spans="2:8" ht="78" customHeight="1">
      <c r="B892" s="152"/>
      <c r="C892" s="152"/>
      <c r="D892" s="149"/>
      <c r="F892" s="154"/>
      <c r="G892" s="155"/>
    </row>
    <row r="893" spans="2:8" ht="78" customHeight="1">
      <c r="B893" s="152"/>
      <c r="C893" s="152"/>
      <c r="D893" s="149"/>
      <c r="F893" s="154"/>
      <c r="G893" s="155"/>
    </row>
    <row r="894" spans="2:8" ht="78" customHeight="1">
      <c r="B894" s="152"/>
      <c r="C894" s="152"/>
      <c r="D894" s="149"/>
      <c r="F894" s="154"/>
      <c r="G894" s="155"/>
    </row>
    <row r="895" spans="2:8" ht="78" customHeight="1">
      <c r="B895" s="152"/>
      <c r="C895" s="153"/>
      <c r="D895" s="149"/>
      <c r="F895" s="154"/>
      <c r="G895" s="155"/>
    </row>
    <row r="896" spans="2:8" ht="78" customHeight="1">
      <c r="B896" s="152"/>
      <c r="C896" s="152"/>
      <c r="D896" s="149"/>
      <c r="F896" s="154"/>
      <c r="G896" s="155"/>
    </row>
    <row r="897" spans="2:8" ht="78" customHeight="1">
      <c r="B897" s="152"/>
      <c r="C897" s="152"/>
      <c r="D897" s="149"/>
      <c r="F897" s="154"/>
      <c r="G897" s="155"/>
    </row>
    <row r="898" spans="2:8" ht="78" customHeight="1">
      <c r="B898" s="152"/>
      <c r="C898" s="152"/>
      <c r="D898" s="149"/>
      <c r="F898" s="154"/>
      <c r="G898" s="155"/>
    </row>
    <row r="899" spans="2:8" ht="78" customHeight="1">
      <c r="B899" s="152"/>
      <c r="C899" s="152"/>
      <c r="D899" s="149"/>
      <c r="F899" s="154"/>
      <c r="G899" s="155"/>
    </row>
    <row r="900" spans="2:8" ht="78" customHeight="1">
      <c r="B900" s="152"/>
      <c r="C900" s="152"/>
      <c r="D900" s="149"/>
      <c r="F900" s="154"/>
      <c r="G900" s="155"/>
    </row>
    <row r="901" spans="2:8" ht="78" customHeight="1">
      <c r="B901" s="152"/>
      <c r="C901" s="152"/>
      <c r="D901" s="149"/>
      <c r="F901" s="154"/>
      <c r="G901" s="155"/>
    </row>
    <row r="902" spans="2:8" ht="78" customHeight="1">
      <c r="B902" s="152"/>
      <c r="C902" s="152"/>
      <c r="D902" s="149"/>
      <c r="F902" s="154"/>
      <c r="G902" s="155"/>
    </row>
    <row r="903" spans="2:8" ht="78" customHeight="1">
      <c r="B903" s="152"/>
      <c r="C903" s="153"/>
      <c r="D903" s="149"/>
      <c r="F903" s="154"/>
      <c r="G903" s="155"/>
    </row>
    <row r="904" spans="2:8" ht="78" customHeight="1">
      <c r="B904" s="152"/>
      <c r="C904" s="153"/>
      <c r="D904" s="149"/>
      <c r="F904" s="154"/>
      <c r="G904" s="155"/>
    </row>
    <row r="905" spans="2:8" ht="78" customHeight="1">
      <c r="B905" s="152"/>
      <c r="C905" s="153"/>
      <c r="D905" s="149"/>
      <c r="F905" s="154"/>
      <c r="G905" s="155"/>
    </row>
    <row r="906" spans="2:8" ht="78" customHeight="1">
      <c r="B906" s="152"/>
      <c r="C906" s="152"/>
      <c r="D906" s="149"/>
      <c r="F906" s="154"/>
      <c r="G906" s="155"/>
    </row>
    <row r="907" spans="2:8" ht="78" customHeight="1">
      <c r="B907" s="152"/>
      <c r="C907" s="153"/>
      <c r="D907" s="149"/>
      <c r="F907" s="154"/>
      <c r="G907" s="155"/>
    </row>
    <row r="908" spans="2:8" ht="78" customHeight="1">
      <c r="B908" s="152"/>
      <c r="C908" s="153"/>
      <c r="D908" s="149"/>
      <c r="F908" s="154"/>
      <c r="G908" s="155"/>
    </row>
    <row r="909" spans="2:8" ht="78" customHeight="1">
      <c r="B909" s="152"/>
      <c r="C909" s="153"/>
      <c r="D909" s="149"/>
      <c r="F909" s="154"/>
      <c r="G909" s="155"/>
      <c r="H909" s="154"/>
    </row>
    <row r="910" spans="2:8" ht="78" customHeight="1">
      <c r="B910" s="152"/>
      <c r="C910" s="152"/>
      <c r="D910" s="149"/>
      <c r="G910" s="155"/>
    </row>
    <row r="911" spans="2:8" ht="78" customHeight="1">
      <c r="B911" s="152"/>
      <c r="C911" s="152"/>
      <c r="D911" s="149"/>
      <c r="F911" s="222"/>
      <c r="G911" s="155"/>
    </row>
    <row r="912" spans="2:8" ht="78" customHeight="1">
      <c r="B912" s="152"/>
      <c r="C912" s="152"/>
      <c r="D912" s="149"/>
      <c r="F912" s="222"/>
      <c r="G912" s="155"/>
    </row>
    <row r="913" spans="2:7" ht="78" customHeight="1">
      <c r="B913" s="152"/>
      <c r="C913" s="152"/>
      <c r="D913" s="149"/>
      <c r="F913" s="222"/>
      <c r="G913" s="155"/>
    </row>
    <row r="914" spans="2:7" ht="78" customHeight="1">
      <c r="B914" s="152"/>
      <c r="C914" s="152"/>
      <c r="D914" s="149"/>
      <c r="F914" s="222"/>
      <c r="G914" s="155"/>
    </row>
    <row r="915" spans="2:7" ht="78" customHeight="1">
      <c r="B915" s="152"/>
      <c r="C915" s="152"/>
      <c r="D915" s="149"/>
      <c r="F915" s="222"/>
      <c r="G915" s="155"/>
    </row>
    <row r="916" spans="2:7" ht="78" customHeight="1">
      <c r="B916" s="152"/>
      <c r="C916" s="152"/>
      <c r="D916" s="149"/>
      <c r="F916" s="222"/>
      <c r="G916" s="155"/>
    </row>
    <row r="917" spans="2:7" ht="78" customHeight="1">
      <c r="B917" s="152"/>
      <c r="C917" s="152"/>
      <c r="D917" s="149"/>
      <c r="F917" s="222"/>
      <c r="G917" s="155"/>
    </row>
    <row r="918" spans="2:7" ht="78" customHeight="1">
      <c r="B918" s="152"/>
      <c r="C918" s="152"/>
      <c r="D918" s="149"/>
      <c r="F918" s="222"/>
      <c r="G918" s="155"/>
    </row>
    <row r="919" spans="2:7" ht="78" customHeight="1">
      <c r="B919" s="152"/>
      <c r="C919" s="152"/>
      <c r="D919" s="149"/>
      <c r="F919" s="222"/>
      <c r="G919" s="155"/>
    </row>
    <row r="920" spans="2:7" ht="78" customHeight="1">
      <c r="B920" s="152"/>
      <c r="C920" s="152"/>
      <c r="D920" s="149"/>
      <c r="F920" s="222"/>
      <c r="G920" s="155"/>
    </row>
    <row r="921" spans="2:7" ht="78" customHeight="1">
      <c r="B921" s="152"/>
      <c r="C921" s="152"/>
      <c r="D921" s="149"/>
      <c r="F921" s="222"/>
      <c r="G921" s="155"/>
    </row>
    <row r="922" spans="2:7" ht="78" customHeight="1">
      <c r="B922" s="152"/>
      <c r="C922" s="152"/>
      <c r="D922" s="149"/>
      <c r="F922" s="222"/>
      <c r="G922" s="155"/>
    </row>
    <row r="923" spans="2:7" ht="78" customHeight="1">
      <c r="B923" s="152"/>
      <c r="C923" s="152"/>
      <c r="D923" s="149"/>
      <c r="F923" s="222"/>
      <c r="G923" s="155"/>
    </row>
    <row r="924" spans="2:7" ht="78" customHeight="1">
      <c r="B924" s="152"/>
      <c r="C924" s="152"/>
      <c r="D924" s="149"/>
      <c r="F924" s="222"/>
      <c r="G924" s="155"/>
    </row>
    <row r="925" spans="2:7" ht="78" customHeight="1">
      <c r="B925" s="152"/>
      <c r="C925" s="152"/>
      <c r="D925" s="149"/>
      <c r="F925" s="222"/>
      <c r="G925" s="155"/>
    </row>
    <row r="926" spans="2:7" ht="78" customHeight="1">
      <c r="B926" s="152"/>
      <c r="C926" s="152"/>
      <c r="D926" s="149"/>
      <c r="F926" s="222"/>
      <c r="G926" s="155"/>
    </row>
    <row r="927" spans="2:7" ht="78" customHeight="1">
      <c r="B927" s="152"/>
      <c r="C927" s="152"/>
      <c r="D927" s="149"/>
      <c r="F927" s="222"/>
      <c r="G927" s="155"/>
    </row>
    <row r="928" spans="2:7" ht="78" customHeight="1">
      <c r="B928" s="152"/>
      <c r="C928" s="152"/>
      <c r="D928" s="149"/>
      <c r="F928" s="222"/>
      <c r="G928" s="155"/>
    </row>
    <row r="929" spans="2:8" ht="78" customHeight="1">
      <c r="B929" s="152"/>
      <c r="C929" s="152"/>
      <c r="D929" s="149"/>
      <c r="F929" s="222"/>
      <c r="G929" s="155"/>
    </row>
    <row r="930" spans="2:8" ht="78" customHeight="1">
      <c r="B930" s="152"/>
      <c r="C930" s="152"/>
      <c r="D930" s="149"/>
      <c r="F930" s="154"/>
      <c r="G930" s="155"/>
    </row>
    <row r="931" spans="2:8" ht="78" customHeight="1">
      <c r="B931" s="152"/>
      <c r="C931" s="152"/>
      <c r="D931" s="149"/>
      <c r="F931" s="154"/>
      <c r="G931" s="155"/>
      <c r="H931" s="154"/>
    </row>
    <row r="932" spans="2:8" ht="78" customHeight="1">
      <c r="B932" s="152"/>
      <c r="C932" s="152"/>
      <c r="D932" s="149"/>
      <c r="F932" s="154"/>
      <c r="G932" s="155"/>
      <c r="H932" s="154"/>
    </row>
    <row r="933" spans="2:8" ht="78" customHeight="1">
      <c r="B933" s="152"/>
      <c r="C933" s="152"/>
      <c r="D933" s="149"/>
      <c r="F933" s="154"/>
      <c r="G933" s="155"/>
    </row>
    <row r="934" spans="2:8" ht="78" customHeight="1">
      <c r="B934" s="152"/>
      <c r="C934" s="152"/>
      <c r="D934" s="149"/>
      <c r="F934" s="154"/>
      <c r="G934" s="155"/>
    </row>
    <row r="935" spans="2:8" ht="78" customHeight="1">
      <c r="B935" s="152"/>
      <c r="C935" s="152"/>
      <c r="D935" s="149"/>
      <c r="G935" s="155"/>
    </row>
    <row r="936" spans="2:8" ht="78" customHeight="1">
      <c r="B936" s="152"/>
      <c r="C936" s="152"/>
      <c r="D936" s="149"/>
      <c r="F936" s="154"/>
      <c r="G936" s="155"/>
    </row>
    <row r="937" spans="2:8" ht="78" customHeight="1">
      <c r="B937" s="152"/>
      <c r="C937" s="152"/>
      <c r="D937" s="149"/>
      <c r="F937" s="295"/>
      <c r="G937" s="155"/>
    </row>
    <row r="938" spans="2:8" ht="78" customHeight="1">
      <c r="B938" s="152"/>
      <c r="C938" s="152"/>
      <c r="D938" s="149"/>
      <c r="F938" s="154"/>
      <c r="G938" s="155"/>
    </row>
    <row r="939" spans="2:8" ht="78" customHeight="1">
      <c r="B939" s="152"/>
      <c r="C939" s="152"/>
      <c r="D939" s="149"/>
      <c r="F939" s="154"/>
      <c r="G939" s="155"/>
      <c r="H939" s="154"/>
    </row>
    <row r="940" spans="2:8" ht="78" customHeight="1">
      <c r="B940" s="152"/>
      <c r="C940" s="152"/>
      <c r="D940" s="149"/>
      <c r="F940" s="154"/>
      <c r="G940" s="155"/>
      <c r="H940" s="154"/>
    </row>
    <row r="941" spans="2:8" ht="78" customHeight="1">
      <c r="B941" s="152"/>
      <c r="C941" s="152"/>
      <c r="D941" s="149"/>
      <c r="F941" s="154"/>
      <c r="G941" s="155"/>
    </row>
    <row r="942" spans="2:8" ht="78" customHeight="1">
      <c r="B942" s="152"/>
      <c r="C942" s="152"/>
      <c r="D942" s="149"/>
      <c r="F942" s="154"/>
      <c r="G942" s="155"/>
      <c r="H942" s="154"/>
    </row>
    <row r="943" spans="2:8" ht="78" customHeight="1">
      <c r="B943" s="152"/>
      <c r="C943" s="152"/>
      <c r="D943" s="149"/>
      <c r="F943" s="154"/>
      <c r="G943" s="155"/>
      <c r="H943" s="154"/>
    </row>
    <row r="944" spans="2:8" ht="78" customHeight="1">
      <c r="B944" s="152"/>
      <c r="C944" s="152"/>
      <c r="D944" s="149"/>
      <c r="G944" s="155"/>
    </row>
    <row r="945" spans="2:8" ht="78" customHeight="1">
      <c r="B945" s="152"/>
      <c r="C945" s="152"/>
      <c r="D945" s="149"/>
      <c r="F945" s="154"/>
      <c r="G945" s="155"/>
      <c r="H945" s="154"/>
    </row>
    <row r="946" spans="2:8" ht="78" customHeight="1">
      <c r="B946" s="152"/>
      <c r="C946" s="152"/>
      <c r="D946" s="149"/>
      <c r="F946" s="154"/>
      <c r="G946" s="155"/>
      <c r="H946" s="154"/>
    </row>
    <row r="947" spans="2:8" ht="78" customHeight="1">
      <c r="B947" s="152"/>
      <c r="C947" s="152"/>
      <c r="D947" s="149"/>
      <c r="F947" s="154"/>
      <c r="G947" s="155"/>
      <c r="H947" s="154"/>
    </row>
    <row r="948" spans="2:8" ht="78" customHeight="1">
      <c r="B948" s="152"/>
      <c r="C948" s="152"/>
      <c r="D948" s="149"/>
      <c r="F948" s="154"/>
      <c r="G948" s="155"/>
    </row>
    <row r="949" spans="2:8" ht="78" customHeight="1">
      <c r="B949" s="152"/>
      <c r="C949" s="152"/>
      <c r="D949" s="149"/>
      <c r="F949" s="154"/>
      <c r="G949" s="155"/>
    </row>
    <row r="950" spans="2:8" ht="78" customHeight="1">
      <c r="B950" s="152"/>
      <c r="C950" s="152"/>
      <c r="D950" s="149"/>
      <c r="F950" s="154"/>
      <c r="G950" s="155"/>
    </row>
    <row r="951" spans="2:8" ht="78" customHeight="1">
      <c r="B951" s="152"/>
      <c r="C951" s="152"/>
      <c r="D951" s="149"/>
      <c r="F951" s="154"/>
      <c r="G951" s="155"/>
      <c r="H951" s="154"/>
    </row>
    <row r="952" spans="2:8" ht="78" customHeight="1">
      <c r="B952" s="152"/>
      <c r="C952" s="152"/>
      <c r="D952" s="149"/>
      <c r="F952" s="154"/>
      <c r="G952" s="155"/>
      <c r="H952" s="154"/>
    </row>
    <row r="953" spans="2:8" ht="78" customHeight="1">
      <c r="B953" s="152"/>
      <c r="C953" s="152"/>
      <c r="D953" s="149"/>
      <c r="F953" s="222"/>
      <c r="G953" s="155"/>
    </row>
    <row r="954" spans="2:8" ht="78" customHeight="1">
      <c r="B954" s="152"/>
      <c r="C954" s="152"/>
      <c r="D954" s="149"/>
      <c r="F954" s="222"/>
      <c r="G954" s="155"/>
    </row>
    <row r="955" spans="2:8" ht="78" customHeight="1">
      <c r="B955" s="152"/>
      <c r="C955" s="152"/>
      <c r="D955" s="149"/>
      <c r="F955" s="222"/>
      <c r="G955" s="155"/>
    </row>
    <row r="956" spans="2:8" ht="78" customHeight="1">
      <c r="B956" s="152"/>
      <c r="C956" s="152"/>
      <c r="D956" s="149"/>
      <c r="F956" s="222"/>
      <c r="G956" s="155"/>
    </row>
    <row r="957" spans="2:8" ht="78" customHeight="1">
      <c r="B957" s="152"/>
      <c r="C957" s="152"/>
      <c r="D957" s="149"/>
      <c r="F957" s="222"/>
      <c r="G957" s="155"/>
    </row>
    <row r="958" spans="2:8" ht="78" customHeight="1">
      <c r="B958" s="152"/>
      <c r="C958" s="152"/>
      <c r="D958" s="149"/>
      <c r="F958" s="222"/>
      <c r="G958" s="155"/>
    </row>
    <row r="959" spans="2:8" ht="78" customHeight="1">
      <c r="B959" s="152"/>
      <c r="C959" s="152"/>
      <c r="D959" s="149"/>
      <c r="G959" s="155"/>
      <c r="H959" s="154"/>
    </row>
    <row r="960" spans="2:8" ht="78" customHeight="1">
      <c r="B960" s="152"/>
      <c r="C960" s="152"/>
      <c r="D960" s="149"/>
      <c r="G960" s="155"/>
      <c r="H960" s="154"/>
    </row>
    <row r="961" spans="2:8" ht="78" customHeight="1">
      <c r="B961" s="152"/>
      <c r="C961" s="152"/>
      <c r="D961" s="149"/>
      <c r="G961" s="155"/>
      <c r="H961" s="154"/>
    </row>
    <row r="962" spans="2:8" ht="78" customHeight="1">
      <c r="B962" s="152"/>
      <c r="C962" s="152"/>
      <c r="D962" s="149"/>
      <c r="F962" s="222"/>
      <c r="G962" s="155"/>
    </row>
    <row r="963" spans="2:8" ht="78" customHeight="1">
      <c r="B963" s="152"/>
      <c r="C963" s="152"/>
      <c r="D963" s="149"/>
      <c r="F963" s="222"/>
      <c r="G963" s="155"/>
    </row>
    <row r="964" spans="2:8" ht="78" customHeight="1">
      <c r="B964" s="152"/>
      <c r="C964" s="152"/>
      <c r="D964" s="149"/>
      <c r="F964" s="222"/>
      <c r="G964" s="155"/>
      <c r="H964" s="154"/>
    </row>
    <row r="965" spans="2:8" ht="78" customHeight="1">
      <c r="B965" s="152"/>
      <c r="C965" s="152"/>
      <c r="D965" s="149"/>
      <c r="F965" s="222"/>
      <c r="G965" s="155"/>
    </row>
    <row r="966" spans="2:8" ht="78" customHeight="1">
      <c r="B966" s="152"/>
      <c r="C966" s="152"/>
      <c r="D966" s="149"/>
      <c r="F966" s="154"/>
      <c r="G966" s="155"/>
    </row>
    <row r="967" spans="2:8" ht="78" customHeight="1">
      <c r="B967" s="152"/>
      <c r="C967" s="152"/>
      <c r="D967" s="149"/>
      <c r="F967" s="154"/>
      <c r="G967" s="155"/>
    </row>
    <row r="968" spans="2:8" ht="78" customHeight="1">
      <c r="B968" s="152"/>
      <c r="C968" s="152"/>
      <c r="D968" s="149"/>
      <c r="F968" s="154"/>
      <c r="G968" s="155"/>
      <c r="H968" s="154"/>
    </row>
    <row r="969" spans="2:8" ht="78" customHeight="1">
      <c r="B969" s="152"/>
      <c r="C969" s="152"/>
      <c r="D969" s="149"/>
      <c r="F969" s="222"/>
      <c r="G969" s="155"/>
    </row>
    <row r="970" spans="2:8" ht="78" customHeight="1">
      <c r="B970" s="152"/>
      <c r="C970" s="152"/>
      <c r="D970" s="149"/>
      <c r="F970" s="222"/>
      <c r="G970" s="155"/>
    </row>
    <row r="971" spans="2:8" ht="78" customHeight="1">
      <c r="B971" s="152"/>
      <c r="C971" s="152"/>
      <c r="D971" s="149"/>
      <c r="F971" s="222"/>
      <c r="G971" s="155"/>
    </row>
    <row r="972" spans="2:8" ht="78" customHeight="1">
      <c r="B972" s="152"/>
      <c r="C972" s="152"/>
      <c r="D972" s="149"/>
      <c r="F972" s="154"/>
      <c r="G972" s="155"/>
    </row>
    <row r="973" spans="2:8" ht="78" customHeight="1">
      <c r="B973" s="152"/>
      <c r="C973" s="152"/>
      <c r="D973" s="149"/>
      <c r="F973" s="154"/>
      <c r="G973" s="155"/>
    </row>
    <row r="974" spans="2:8" ht="78" customHeight="1">
      <c r="B974" s="152"/>
      <c r="C974" s="152"/>
      <c r="D974" s="149"/>
      <c r="F974" s="222"/>
      <c r="G974" s="155"/>
    </row>
    <row r="975" spans="2:8" ht="78" customHeight="1">
      <c r="B975" s="152"/>
      <c r="C975" s="152"/>
      <c r="D975" s="149"/>
      <c r="F975" s="222"/>
      <c r="G975" s="155"/>
    </row>
    <row r="976" spans="2:8" ht="78" customHeight="1">
      <c r="B976" s="152"/>
      <c r="C976" s="152"/>
      <c r="D976" s="149"/>
      <c r="F976" s="222"/>
      <c r="G976" s="155"/>
    </row>
    <row r="977" spans="2:8" ht="78" customHeight="1">
      <c r="B977" s="152"/>
      <c r="C977" s="152"/>
      <c r="D977" s="149"/>
      <c r="F977" s="222"/>
      <c r="G977" s="155"/>
    </row>
    <row r="978" spans="2:8" ht="78" customHeight="1">
      <c r="B978" s="152"/>
      <c r="C978" s="153"/>
      <c r="D978" s="149"/>
      <c r="F978" s="154"/>
      <c r="G978" s="155"/>
    </row>
    <row r="979" spans="2:8" ht="78" customHeight="1">
      <c r="B979" s="152"/>
      <c r="C979" s="153"/>
      <c r="D979" s="149"/>
      <c r="F979" s="154"/>
      <c r="G979" s="155"/>
    </row>
    <row r="980" spans="2:8" ht="78" customHeight="1">
      <c r="B980" s="152"/>
      <c r="C980" s="153"/>
      <c r="D980" s="149"/>
      <c r="F980" s="154"/>
      <c r="G980" s="155"/>
    </row>
    <row r="981" spans="2:8" ht="78" customHeight="1">
      <c r="B981" s="152"/>
      <c r="C981" s="153"/>
      <c r="D981" s="149"/>
      <c r="F981" s="154"/>
      <c r="G981" s="155"/>
      <c r="H981" s="154"/>
    </row>
    <row r="982" spans="2:8" ht="78" customHeight="1">
      <c r="B982" s="152"/>
      <c r="C982" s="153"/>
      <c r="D982" s="149"/>
      <c r="F982" s="154"/>
      <c r="G982" s="155"/>
    </row>
    <row r="983" spans="2:8" ht="78" customHeight="1">
      <c r="B983" s="152"/>
      <c r="C983" s="152"/>
      <c r="D983" s="149"/>
      <c r="F983" s="154"/>
      <c r="G983" s="155"/>
      <c r="H983" s="154"/>
    </row>
    <row r="984" spans="2:8" ht="78" customHeight="1">
      <c r="B984" s="153"/>
      <c r="C984" s="153"/>
      <c r="D984" s="149"/>
      <c r="F984" s="222"/>
      <c r="G984" s="155"/>
      <c r="H984" s="154"/>
    </row>
    <row r="985" spans="2:8" ht="78" customHeight="1">
      <c r="B985" s="153"/>
      <c r="C985" s="153"/>
      <c r="D985" s="149"/>
      <c r="F985" s="222"/>
      <c r="G985" s="155"/>
    </row>
    <row r="986" spans="2:8" ht="78" customHeight="1">
      <c r="B986" s="153"/>
      <c r="C986" s="153"/>
      <c r="D986" s="149"/>
      <c r="F986" s="154"/>
      <c r="G986" s="155"/>
    </row>
    <row r="987" spans="2:8" ht="78" customHeight="1">
      <c r="B987" s="153"/>
      <c r="C987" s="153"/>
      <c r="D987" s="149"/>
      <c r="G987" s="155"/>
    </row>
    <row r="988" spans="2:8" ht="78" customHeight="1">
      <c r="B988" s="153"/>
      <c r="C988" s="153"/>
      <c r="D988" s="149"/>
      <c r="F988" s="154"/>
      <c r="G988" s="155"/>
    </row>
    <row r="989" spans="2:8" ht="78" customHeight="1">
      <c r="B989" s="153"/>
      <c r="C989" s="153"/>
      <c r="D989" s="149"/>
      <c r="F989" s="154"/>
      <c r="G989" s="155"/>
      <c r="H989" s="154"/>
    </row>
    <row r="990" spans="2:8" ht="78" customHeight="1">
      <c r="B990" s="153"/>
      <c r="C990" s="153"/>
      <c r="D990" s="149"/>
      <c r="F990" s="154"/>
      <c r="G990" s="155"/>
      <c r="H990" s="154"/>
    </row>
    <row r="991" spans="2:8" ht="78" customHeight="1">
      <c r="B991" s="152"/>
      <c r="C991" s="152"/>
      <c r="D991" s="149"/>
      <c r="F991" s="154"/>
      <c r="G991" s="155"/>
      <c r="H991" s="154"/>
    </row>
    <row r="992" spans="2:8" ht="78" customHeight="1">
      <c r="B992" s="152"/>
      <c r="C992" s="152"/>
      <c r="D992" s="149"/>
      <c r="F992" s="154"/>
      <c r="G992" s="155"/>
    </row>
    <row r="993" spans="2:8" ht="78" customHeight="1">
      <c r="B993" s="152"/>
      <c r="C993" s="152"/>
      <c r="D993" s="149"/>
      <c r="G993" s="155"/>
      <c r="H993" s="154"/>
    </row>
    <row r="994" spans="2:8" ht="78" customHeight="1">
      <c r="B994" s="152"/>
      <c r="C994" s="152"/>
      <c r="D994" s="149"/>
      <c r="F994" s="154"/>
      <c r="G994" s="155"/>
      <c r="H994" s="154"/>
    </row>
    <row r="995" spans="2:8" ht="78" customHeight="1">
      <c r="B995" s="152"/>
      <c r="C995" s="152"/>
      <c r="D995" s="149"/>
      <c r="G995" s="155"/>
      <c r="H995" s="154"/>
    </row>
    <row r="996" spans="2:8" ht="78" customHeight="1">
      <c r="B996" s="152"/>
      <c r="C996" s="152"/>
      <c r="D996" s="149"/>
      <c r="F996" s="154"/>
      <c r="G996" s="155"/>
    </row>
    <row r="997" spans="2:8" ht="78" customHeight="1">
      <c r="B997" s="152"/>
      <c r="C997" s="153"/>
      <c r="D997" s="149"/>
      <c r="F997" s="154"/>
      <c r="G997" s="155"/>
      <c r="H997" s="154"/>
    </row>
    <row r="998" spans="2:8" ht="78" customHeight="1">
      <c r="B998" s="153"/>
      <c r="C998" s="153"/>
      <c r="D998" s="149"/>
      <c r="G998" s="155"/>
    </row>
    <row r="999" spans="2:8" ht="78" customHeight="1">
      <c r="B999" s="153"/>
      <c r="C999" s="153"/>
      <c r="D999" s="149"/>
      <c r="G999" s="155"/>
      <c r="H999" s="154"/>
    </row>
    <row r="1000" spans="2:8" ht="78" customHeight="1">
      <c r="B1000" s="152"/>
      <c r="C1000" s="153"/>
      <c r="D1000" s="149"/>
      <c r="F1000" s="154"/>
      <c r="G1000" s="155"/>
      <c r="H1000" s="154"/>
    </row>
    <row r="1001" spans="2:8" ht="78" customHeight="1">
      <c r="B1001" s="152"/>
      <c r="C1001" s="153"/>
      <c r="D1001" s="149"/>
      <c r="F1001" s="154"/>
      <c r="G1001" s="155"/>
      <c r="H1001" s="154"/>
    </row>
    <row r="1002" spans="2:8" ht="78" customHeight="1">
      <c r="B1002" s="152"/>
      <c r="C1002" s="153"/>
      <c r="D1002" s="149"/>
      <c r="F1002" s="154"/>
      <c r="G1002" s="155"/>
      <c r="H1002" s="154"/>
    </row>
    <row r="1003" spans="2:8" ht="78" customHeight="1">
      <c r="B1003" s="152"/>
      <c r="C1003" s="152"/>
      <c r="D1003" s="149"/>
      <c r="G1003" s="155"/>
      <c r="H1003" s="154"/>
    </row>
    <row r="1004" spans="2:8" ht="78" customHeight="1">
      <c r="B1004" s="152"/>
      <c r="C1004" s="152"/>
      <c r="D1004" s="149"/>
      <c r="G1004" s="155"/>
    </row>
    <row r="1005" spans="2:8" ht="78" customHeight="1">
      <c r="B1005" s="153"/>
      <c r="C1005" s="153"/>
      <c r="D1005" s="149"/>
      <c r="F1005" s="154"/>
      <c r="G1005" s="155"/>
      <c r="H1005" s="154"/>
    </row>
    <row r="1006" spans="2:8" ht="78" customHeight="1">
      <c r="B1006" s="153"/>
      <c r="C1006" s="152"/>
      <c r="D1006" s="149"/>
      <c r="F1006" s="154"/>
      <c r="G1006" s="155"/>
      <c r="H1006" s="154"/>
    </row>
    <row r="1007" spans="2:8" ht="78" customHeight="1">
      <c r="B1007" s="153"/>
      <c r="C1007" s="153"/>
      <c r="D1007" s="149"/>
      <c r="F1007" s="154"/>
      <c r="G1007" s="155"/>
    </row>
    <row r="1008" spans="2:8" ht="78" customHeight="1">
      <c r="B1008" s="153"/>
      <c r="C1008" s="153"/>
      <c r="D1008" s="149"/>
      <c r="F1008" s="154"/>
      <c r="G1008" s="155"/>
    </row>
    <row r="1009" spans="2:8" ht="78" customHeight="1">
      <c r="B1009" s="152"/>
      <c r="C1009" s="152"/>
      <c r="D1009" s="149"/>
      <c r="F1009" s="154"/>
      <c r="G1009" s="155"/>
      <c r="H1009" s="154"/>
    </row>
    <row r="1010" spans="2:8" ht="78" customHeight="1">
      <c r="B1010" s="152"/>
      <c r="C1010" s="152"/>
      <c r="D1010" s="149"/>
      <c r="G1010" s="155"/>
    </row>
    <row r="1011" spans="2:8" ht="78" customHeight="1">
      <c r="B1011" s="152"/>
      <c r="C1011" s="152"/>
      <c r="D1011" s="280"/>
      <c r="F1011" s="154"/>
      <c r="G1011" s="155"/>
      <c r="H1011" s="154"/>
    </row>
    <row r="1012" spans="2:8" ht="78" customHeight="1">
      <c r="B1012" s="152"/>
      <c r="C1012" s="152"/>
      <c r="D1012" s="149"/>
      <c r="F1012" s="154"/>
      <c r="G1012" s="155"/>
    </row>
    <row r="1013" spans="2:8" ht="78" customHeight="1">
      <c r="B1013" s="152"/>
      <c r="C1013" s="152"/>
      <c r="D1013" s="149"/>
      <c r="G1013" s="155"/>
    </row>
    <row r="1014" spans="2:8" ht="78" customHeight="1">
      <c r="B1014" s="152"/>
      <c r="C1014" s="152"/>
      <c r="D1014" s="149"/>
      <c r="F1014" s="154"/>
      <c r="G1014" s="155"/>
    </row>
    <row r="1015" spans="2:8" ht="78" customHeight="1">
      <c r="B1015" s="152"/>
      <c r="C1015" s="152"/>
      <c r="D1015" s="149"/>
      <c r="F1015" s="154"/>
      <c r="G1015" s="155"/>
    </row>
    <row r="1016" spans="2:8" ht="78" customHeight="1">
      <c r="B1016" s="152"/>
      <c r="C1016" s="152"/>
      <c r="D1016" s="149"/>
      <c r="F1016" s="154"/>
      <c r="G1016" s="155"/>
    </row>
    <row r="1017" spans="2:8" ht="78" customHeight="1">
      <c r="B1017" s="152"/>
      <c r="C1017" s="152"/>
      <c r="D1017" s="149"/>
      <c r="F1017" s="154"/>
      <c r="G1017" s="155"/>
      <c r="H1017" s="154"/>
    </row>
    <row r="1018" spans="2:8" ht="78" customHeight="1">
      <c r="B1018" s="152"/>
      <c r="C1018" s="152"/>
      <c r="D1018" s="149"/>
      <c r="G1018" s="155"/>
      <c r="H1018" s="154"/>
    </row>
    <row r="1019" spans="2:8" ht="78" customHeight="1">
      <c r="B1019" s="152"/>
      <c r="C1019" s="152"/>
      <c r="D1019" s="149"/>
      <c r="F1019" s="154"/>
      <c r="G1019" s="155"/>
    </row>
    <row r="1020" spans="2:8" ht="78" customHeight="1">
      <c r="B1020" s="152"/>
      <c r="C1020" s="152"/>
      <c r="D1020" s="149"/>
      <c r="F1020" s="154"/>
      <c r="G1020" s="155"/>
      <c r="H1020" s="154"/>
    </row>
    <row r="1021" spans="2:8" ht="78" customHeight="1">
      <c r="B1021" s="152"/>
      <c r="C1021" s="153"/>
      <c r="D1021" s="149"/>
      <c r="F1021" s="154"/>
      <c r="G1021" s="155"/>
    </row>
    <row r="1022" spans="2:8" ht="78" customHeight="1">
      <c r="B1022" s="152"/>
      <c r="C1022" s="152"/>
      <c r="D1022" s="149"/>
      <c r="F1022" s="154"/>
      <c r="G1022" s="155"/>
      <c r="H1022" s="154"/>
    </row>
    <row r="1023" spans="2:8" ht="78" customHeight="1">
      <c r="B1023" s="152"/>
      <c r="C1023" s="153"/>
      <c r="D1023" s="149"/>
      <c r="F1023" s="154"/>
      <c r="G1023" s="155"/>
    </row>
    <row r="1024" spans="2:8" ht="78" customHeight="1">
      <c r="B1024" s="152"/>
      <c r="C1024" s="153"/>
      <c r="D1024" s="149"/>
      <c r="F1024" s="154"/>
      <c r="G1024" s="155"/>
      <c r="H1024" s="154"/>
    </row>
    <row r="1025" spans="2:8" ht="78" customHeight="1">
      <c r="B1025" s="152"/>
      <c r="C1025" s="153"/>
      <c r="D1025" s="149"/>
      <c r="G1025" s="155"/>
    </row>
    <row r="1026" spans="2:8" ht="78" customHeight="1">
      <c r="B1026" s="152"/>
      <c r="C1026" s="153"/>
      <c r="D1026" s="149"/>
      <c r="F1026" s="154"/>
      <c r="G1026" s="155"/>
    </row>
    <row r="1027" spans="2:8" ht="78" customHeight="1">
      <c r="B1027" s="152"/>
      <c r="C1027" s="152"/>
      <c r="D1027" s="149"/>
      <c r="F1027" s="154"/>
      <c r="G1027" s="155"/>
      <c r="H1027" s="154"/>
    </row>
    <row r="1028" spans="2:8" ht="78" customHeight="1">
      <c r="B1028" s="152"/>
      <c r="C1028" s="153"/>
      <c r="D1028" s="149"/>
      <c r="F1028" s="154"/>
      <c r="G1028" s="155"/>
      <c r="H1028" s="154"/>
    </row>
    <row r="1029" spans="2:8" ht="78" customHeight="1">
      <c r="B1029" s="152"/>
      <c r="C1029" s="152"/>
      <c r="D1029" s="149"/>
      <c r="F1029" s="154"/>
      <c r="G1029" s="155"/>
    </row>
    <row r="1030" spans="2:8" ht="78" customHeight="1">
      <c r="B1030" s="152"/>
      <c r="C1030" s="152"/>
      <c r="D1030" s="149"/>
      <c r="F1030" s="222"/>
      <c r="G1030" s="155"/>
      <c r="H1030" s="154"/>
    </row>
    <row r="1031" spans="2:8" ht="78" customHeight="1">
      <c r="B1031" s="152"/>
      <c r="C1031" s="152"/>
      <c r="D1031" s="149"/>
      <c r="F1031" s="222"/>
      <c r="G1031" s="155"/>
    </row>
    <row r="1032" spans="2:8" ht="78" customHeight="1">
      <c r="B1032" s="152"/>
      <c r="C1032" s="152"/>
      <c r="D1032" s="149"/>
      <c r="F1032" s="154"/>
      <c r="G1032" s="155"/>
      <c r="H1032" s="154"/>
    </row>
    <row r="1033" spans="2:8" ht="78" customHeight="1">
      <c r="B1033" s="152"/>
      <c r="C1033" s="152"/>
      <c r="D1033" s="149"/>
      <c r="F1033" s="154"/>
      <c r="G1033" s="155"/>
      <c r="H1033" s="154"/>
    </row>
    <row r="1034" spans="2:8" ht="78" customHeight="1">
      <c r="B1034" s="152"/>
      <c r="C1034" s="152"/>
      <c r="D1034" s="149"/>
      <c r="G1034" s="155"/>
    </row>
    <row r="1035" spans="2:8" ht="78" customHeight="1">
      <c r="B1035" s="152"/>
      <c r="C1035" s="152"/>
      <c r="D1035" s="149"/>
      <c r="F1035" s="222"/>
      <c r="G1035" s="155"/>
    </row>
    <row r="1036" spans="2:8" ht="78" customHeight="1">
      <c r="B1036" s="152"/>
      <c r="C1036" s="152"/>
      <c r="D1036" s="149"/>
      <c r="F1036" s="222"/>
      <c r="G1036" s="155"/>
      <c r="H1036" s="154"/>
    </row>
    <row r="1037" spans="2:8" ht="78" customHeight="1">
      <c r="B1037" s="152"/>
      <c r="C1037" s="152"/>
      <c r="D1037" s="149"/>
      <c r="F1037" s="222"/>
      <c r="G1037" s="155"/>
    </row>
    <row r="1038" spans="2:8" ht="78" customHeight="1">
      <c r="B1038" s="152"/>
      <c r="C1038" s="152"/>
      <c r="D1038" s="149"/>
      <c r="F1038" s="154"/>
      <c r="G1038" s="155"/>
    </row>
    <row r="1039" spans="2:8" ht="78" customHeight="1">
      <c r="B1039" s="152"/>
      <c r="C1039" s="152"/>
      <c r="D1039" s="149"/>
      <c r="F1039" s="222"/>
      <c r="G1039" s="155"/>
    </row>
    <row r="1040" spans="2:8" ht="78" customHeight="1">
      <c r="B1040" s="152"/>
      <c r="C1040" s="152"/>
      <c r="D1040" s="149"/>
      <c r="F1040" s="222"/>
      <c r="G1040" s="155"/>
    </row>
    <row r="1041" spans="2:8" ht="78" customHeight="1">
      <c r="B1041" s="152"/>
      <c r="C1041" s="152"/>
      <c r="D1041" s="149"/>
      <c r="G1041" s="155"/>
    </row>
    <row r="1042" spans="2:8" ht="78" customHeight="1">
      <c r="B1042" s="152"/>
      <c r="C1042" s="152"/>
      <c r="D1042" s="149"/>
      <c r="F1042" s="154"/>
      <c r="G1042" s="155"/>
    </row>
    <row r="1043" spans="2:8" ht="78" customHeight="1">
      <c r="B1043" s="152"/>
      <c r="C1043" s="152"/>
      <c r="D1043" s="149"/>
      <c r="F1043" s="154"/>
      <c r="G1043" s="155"/>
    </row>
    <row r="1044" spans="2:8" ht="78" customHeight="1">
      <c r="B1044" s="152"/>
      <c r="C1044" s="152"/>
      <c r="D1044" s="149"/>
      <c r="F1044" s="154"/>
      <c r="G1044" s="155"/>
    </row>
    <row r="1045" spans="2:8" ht="78" customHeight="1">
      <c r="B1045" s="152"/>
      <c r="C1045" s="152"/>
      <c r="D1045" s="149"/>
      <c r="F1045" s="222"/>
      <c r="G1045" s="155"/>
    </row>
    <row r="1046" spans="2:8" ht="78" customHeight="1">
      <c r="B1046" s="152"/>
      <c r="C1046" s="152"/>
      <c r="D1046" s="149"/>
      <c r="F1046" s="222"/>
      <c r="G1046" s="155"/>
    </row>
    <row r="1047" spans="2:8" ht="78" customHeight="1">
      <c r="B1047" s="152"/>
      <c r="C1047" s="152"/>
      <c r="D1047" s="149"/>
      <c r="F1047" s="154"/>
      <c r="G1047" s="155"/>
      <c r="H1047" s="154"/>
    </row>
    <row r="1048" spans="2:8" ht="78" customHeight="1">
      <c r="B1048" s="152"/>
      <c r="C1048" s="152"/>
      <c r="D1048" s="149"/>
      <c r="F1048" s="222"/>
      <c r="G1048" s="155"/>
      <c r="H1048" s="154"/>
    </row>
    <row r="1049" spans="2:8" ht="78" customHeight="1">
      <c r="B1049" s="152"/>
      <c r="C1049" s="152"/>
      <c r="D1049" s="149"/>
      <c r="F1049" s="222"/>
      <c r="G1049" s="155"/>
    </row>
    <row r="1050" spans="2:8" ht="78" customHeight="1">
      <c r="B1050" s="152"/>
      <c r="C1050" s="152"/>
      <c r="D1050" s="149"/>
      <c r="F1050" s="154"/>
      <c r="G1050" s="155"/>
    </row>
    <row r="1051" spans="2:8" ht="78" customHeight="1">
      <c r="B1051" s="152"/>
      <c r="C1051" s="152"/>
      <c r="D1051" s="149"/>
      <c r="F1051" s="154"/>
      <c r="G1051" s="155"/>
    </row>
    <row r="1052" spans="2:8" ht="78" customHeight="1">
      <c r="B1052" s="152"/>
      <c r="C1052" s="152"/>
      <c r="D1052" s="149"/>
      <c r="F1052" s="222"/>
      <c r="G1052" s="155"/>
    </row>
    <row r="1053" spans="2:8" ht="78" customHeight="1">
      <c r="B1053" s="152"/>
      <c r="C1053" s="152"/>
      <c r="D1053" s="149"/>
      <c r="F1053" s="222"/>
      <c r="G1053" s="155"/>
    </row>
    <row r="1054" spans="2:8" ht="78" customHeight="1">
      <c r="B1054" s="152"/>
      <c r="C1054" s="152"/>
      <c r="D1054" s="149"/>
      <c r="F1054" s="222"/>
      <c r="G1054" s="155"/>
    </row>
    <row r="1055" spans="2:8" ht="78" customHeight="1">
      <c r="B1055" s="152"/>
      <c r="C1055" s="152"/>
      <c r="D1055" s="149"/>
      <c r="F1055" s="222"/>
      <c r="G1055" s="155"/>
    </row>
    <row r="1056" spans="2:8" ht="78" customHeight="1">
      <c r="B1056" s="152"/>
      <c r="C1056" s="152"/>
      <c r="D1056" s="149"/>
      <c r="F1056" s="222"/>
      <c r="G1056" s="155"/>
    </row>
    <row r="1057" spans="2:8" ht="78" customHeight="1">
      <c r="B1057" s="152"/>
      <c r="C1057" s="152"/>
      <c r="D1057" s="149"/>
      <c r="F1057" s="154"/>
      <c r="G1057" s="155"/>
    </row>
    <row r="1058" spans="2:8" ht="78" customHeight="1">
      <c r="B1058" s="152"/>
      <c r="C1058" s="152"/>
      <c r="D1058" s="149"/>
      <c r="F1058" s="222"/>
      <c r="G1058" s="155"/>
    </row>
    <row r="1059" spans="2:8" ht="78" customHeight="1">
      <c r="B1059" s="152"/>
      <c r="C1059" s="152"/>
      <c r="D1059" s="149"/>
      <c r="F1059" s="222"/>
      <c r="G1059" s="155"/>
    </row>
    <row r="1060" spans="2:8" ht="78" customHeight="1">
      <c r="B1060" s="152"/>
      <c r="C1060" s="152"/>
      <c r="D1060" s="149"/>
      <c r="G1060" s="155"/>
      <c r="H1060" s="154"/>
    </row>
    <row r="1061" spans="2:8" ht="78" customHeight="1">
      <c r="B1061" s="152"/>
      <c r="C1061" s="152"/>
      <c r="D1061" s="149"/>
      <c r="G1061" s="155"/>
      <c r="H1061" s="154"/>
    </row>
    <row r="1062" spans="2:8" ht="78" customHeight="1">
      <c r="B1062" s="152"/>
      <c r="C1062" s="152"/>
      <c r="D1062" s="149"/>
      <c r="F1062" s="222"/>
      <c r="G1062" s="155"/>
    </row>
    <row r="1063" spans="2:8" ht="78" customHeight="1">
      <c r="B1063" s="152"/>
      <c r="C1063" s="152"/>
      <c r="D1063" s="149"/>
      <c r="F1063" s="154"/>
      <c r="G1063" s="155"/>
    </row>
    <row r="1064" spans="2:8" ht="78" customHeight="1">
      <c r="B1064" s="152"/>
      <c r="C1064" s="152"/>
      <c r="D1064" s="149"/>
      <c r="F1064" s="154"/>
      <c r="G1064" s="155"/>
    </row>
    <row r="1065" spans="2:8" ht="78" customHeight="1">
      <c r="B1065" s="152"/>
      <c r="C1065" s="152"/>
      <c r="D1065" s="149"/>
      <c r="F1065" s="154"/>
      <c r="G1065" s="155"/>
    </row>
    <row r="1066" spans="2:8" ht="78" customHeight="1">
      <c r="B1066" s="152"/>
      <c r="C1066" s="152"/>
      <c r="D1066" s="149"/>
      <c r="F1066" s="154"/>
      <c r="G1066" s="155"/>
      <c r="H1066" s="154"/>
    </row>
    <row r="1067" spans="2:8" ht="78" customHeight="1">
      <c r="B1067" s="152"/>
      <c r="C1067" s="152"/>
      <c r="D1067" s="149"/>
      <c r="G1067" s="155"/>
      <c r="H1067" s="154"/>
    </row>
    <row r="1068" spans="2:8" ht="78" customHeight="1">
      <c r="B1068" s="152"/>
      <c r="C1068" s="152"/>
      <c r="D1068" s="149"/>
      <c r="F1068" s="154"/>
      <c r="G1068" s="155"/>
    </row>
    <row r="1069" spans="2:8" ht="78" customHeight="1">
      <c r="B1069" s="152"/>
      <c r="C1069" s="152"/>
      <c r="D1069" s="149"/>
      <c r="G1069" s="155"/>
    </row>
    <row r="1070" spans="2:8" ht="78" customHeight="1">
      <c r="B1070" s="152"/>
      <c r="C1070" s="152"/>
      <c r="D1070" s="149"/>
      <c r="F1070" s="154"/>
      <c r="G1070" s="155"/>
      <c r="H1070" s="154"/>
    </row>
    <row r="1071" spans="2:8" ht="78" customHeight="1">
      <c r="B1071" s="152"/>
      <c r="C1071" s="152"/>
      <c r="D1071" s="149"/>
      <c r="G1071" s="155"/>
    </row>
    <row r="1072" spans="2:8" ht="78" customHeight="1">
      <c r="B1072" s="152"/>
      <c r="C1072" s="152"/>
      <c r="D1072" s="149"/>
      <c r="G1072" s="155"/>
    </row>
    <row r="1073" spans="2:8" ht="78" customHeight="1">
      <c r="B1073" s="152"/>
      <c r="C1073" s="152"/>
      <c r="D1073" s="149"/>
      <c r="G1073" s="155"/>
      <c r="H1073" s="154"/>
    </row>
    <row r="1074" spans="2:8" ht="78" customHeight="1">
      <c r="B1074" s="152"/>
      <c r="C1074" s="152"/>
      <c r="D1074" s="149"/>
      <c r="F1074" s="154"/>
      <c r="G1074" s="155"/>
    </row>
    <row r="1075" spans="2:8" ht="78" customHeight="1">
      <c r="B1075" s="152"/>
      <c r="C1075" s="152"/>
      <c r="D1075" s="149"/>
      <c r="F1075" s="154"/>
      <c r="G1075" s="155"/>
    </row>
    <row r="1076" spans="2:8" ht="78" customHeight="1">
      <c r="B1076" s="152"/>
      <c r="C1076" s="152"/>
      <c r="D1076" s="149"/>
      <c r="F1076" s="154"/>
      <c r="G1076" s="155"/>
    </row>
    <row r="1077" spans="2:8" ht="78" customHeight="1">
      <c r="B1077" s="152"/>
      <c r="C1077" s="152"/>
      <c r="D1077" s="149"/>
      <c r="F1077" s="154"/>
      <c r="G1077" s="155"/>
    </row>
    <row r="1078" spans="2:8" ht="78" customHeight="1">
      <c r="B1078" s="152"/>
      <c r="C1078" s="152"/>
      <c r="D1078" s="149"/>
      <c r="F1078" s="154"/>
      <c r="G1078" s="155"/>
    </row>
    <row r="1079" spans="2:8" ht="78" customHeight="1">
      <c r="B1079" s="152"/>
      <c r="C1079" s="152"/>
      <c r="D1079" s="149"/>
      <c r="F1079" s="154"/>
      <c r="G1079" s="155"/>
    </row>
    <row r="1080" spans="2:8" ht="78" customHeight="1">
      <c r="B1080" s="152"/>
      <c r="C1080" s="152"/>
      <c r="D1080" s="149"/>
      <c r="F1080" s="154"/>
      <c r="G1080" s="155"/>
    </row>
    <row r="1081" spans="2:8" ht="78" customHeight="1">
      <c r="B1081" s="152"/>
      <c r="C1081" s="152"/>
      <c r="D1081" s="149"/>
      <c r="F1081" s="154"/>
      <c r="G1081" s="155"/>
    </row>
    <row r="1082" spans="2:8" ht="78" customHeight="1">
      <c r="B1082" s="152"/>
      <c r="C1082" s="152"/>
      <c r="D1082" s="149"/>
      <c r="F1082" s="154"/>
      <c r="G1082" s="155"/>
    </row>
    <row r="1083" spans="2:8" ht="78" customHeight="1">
      <c r="B1083" s="152"/>
      <c r="C1083" s="153"/>
      <c r="D1083" s="149"/>
      <c r="F1083" s="154"/>
      <c r="G1083" s="155"/>
    </row>
    <row r="1084" spans="2:8" ht="78" customHeight="1">
      <c r="B1084" s="152"/>
      <c r="C1084" s="152"/>
      <c r="D1084" s="149"/>
      <c r="F1084" s="154"/>
      <c r="G1084" s="155"/>
    </row>
    <row r="1085" spans="2:8" ht="78" customHeight="1">
      <c r="B1085" s="152"/>
      <c r="C1085" s="153"/>
      <c r="D1085" s="149"/>
      <c r="F1085" s="154"/>
      <c r="G1085" s="155"/>
    </row>
    <row r="1086" spans="2:8" ht="78" customHeight="1">
      <c r="B1086" s="152"/>
      <c r="C1086" s="153"/>
      <c r="D1086" s="149"/>
      <c r="F1086" s="154"/>
      <c r="G1086" s="155"/>
    </row>
    <row r="1087" spans="2:8" ht="78" customHeight="1">
      <c r="B1087" s="152"/>
      <c r="D1087" s="149"/>
      <c r="F1087" s="154"/>
    </row>
    <row r="1088" spans="2:8" ht="78" customHeight="1">
      <c r="B1088" s="152"/>
      <c r="D1088" s="149"/>
      <c r="F1088" s="154"/>
    </row>
    <row r="1089" spans="2:7" ht="78" customHeight="1">
      <c r="B1089" s="152"/>
      <c r="C1089" s="152"/>
      <c r="D1089" s="149"/>
      <c r="F1089" s="154"/>
      <c r="G1089" s="155"/>
    </row>
    <row r="1090" spans="2:7" ht="78" customHeight="1">
      <c r="B1090" s="152"/>
      <c r="C1090" s="152"/>
      <c r="D1090" s="149"/>
      <c r="F1090" s="154"/>
      <c r="G1090" s="155"/>
    </row>
    <row r="1091" spans="2:7" ht="78" customHeight="1">
      <c r="B1091" s="152"/>
      <c r="C1091" s="152"/>
      <c r="D1091" s="149"/>
      <c r="F1091" s="154"/>
      <c r="G1091" s="155"/>
    </row>
    <row r="1092" spans="2:7" ht="78" customHeight="1">
      <c r="B1092" s="152"/>
      <c r="C1092" s="152"/>
      <c r="D1092" s="149"/>
      <c r="F1092" s="154"/>
      <c r="G1092" s="155"/>
    </row>
    <row r="1093" spans="2:7" ht="78" customHeight="1">
      <c r="B1093" s="152"/>
      <c r="C1093" s="152"/>
      <c r="D1093" s="149"/>
      <c r="F1093" s="154"/>
      <c r="G1093" s="155"/>
    </row>
    <row r="1094" spans="2:7" ht="78" customHeight="1">
      <c r="B1094" s="152"/>
      <c r="C1094" s="152"/>
      <c r="D1094" s="149"/>
      <c r="F1094" s="154"/>
      <c r="G1094" s="155"/>
    </row>
    <row r="1095" spans="2:7" ht="78" customHeight="1">
      <c r="B1095" s="152"/>
      <c r="C1095" s="152"/>
      <c r="D1095" s="149"/>
      <c r="F1095" s="154"/>
      <c r="G1095" s="155"/>
    </row>
    <row r="1096" spans="2:7" ht="78" customHeight="1">
      <c r="B1096" s="152"/>
      <c r="C1096" s="152"/>
      <c r="D1096" s="149"/>
      <c r="F1096" s="154"/>
      <c r="G1096" s="155"/>
    </row>
    <row r="1097" spans="2:7" ht="78" customHeight="1">
      <c r="B1097" s="152"/>
      <c r="C1097" s="152"/>
      <c r="D1097" s="149"/>
      <c r="F1097" s="154"/>
      <c r="G1097" s="155"/>
    </row>
    <row r="1098" spans="2:7" ht="78" customHeight="1">
      <c r="B1098" s="152"/>
      <c r="D1098" s="149"/>
      <c r="F1098" s="154"/>
    </row>
    <row r="1099" spans="2:7" ht="78" customHeight="1">
      <c r="B1099" s="152"/>
      <c r="D1099" s="149"/>
      <c r="F1099" s="154"/>
    </row>
    <row r="1100" spans="2:7" ht="78" customHeight="1">
      <c r="B1100" s="152"/>
      <c r="D1100" s="149"/>
      <c r="F1100" s="154"/>
    </row>
    <row r="1101" spans="2:7" ht="78" customHeight="1">
      <c r="B1101" s="152"/>
      <c r="D1101" s="149"/>
      <c r="F1101" s="154"/>
    </row>
    <row r="1102" spans="2:7" ht="78" customHeight="1">
      <c r="B1102" s="152"/>
      <c r="D1102" s="149"/>
      <c r="F1102" s="154"/>
    </row>
    <row r="1103" spans="2:7" ht="78" customHeight="1">
      <c r="B1103" s="152"/>
      <c r="C1103" s="152"/>
      <c r="D1103" s="149"/>
      <c r="G1103" s="155"/>
    </row>
    <row r="1104" spans="2:7" ht="78" customHeight="1">
      <c r="B1104" s="152"/>
      <c r="C1104" s="152"/>
      <c r="D1104" s="149"/>
      <c r="F1104" s="154"/>
      <c r="G1104" s="155"/>
    </row>
    <row r="1105" spans="2:8" ht="78" customHeight="1">
      <c r="B1105" s="152"/>
      <c r="C1105" s="152"/>
      <c r="D1105" s="149"/>
      <c r="G1105" s="155"/>
      <c r="H1105" s="154"/>
    </row>
    <row r="1048552" spans="4:7" ht="78" customHeight="1">
      <c r="D1048552" s="160"/>
      <c r="G1048552" s="177"/>
    </row>
    <row r="1048576" spans="1:1" ht="78" customHeight="1">
      <c r="A1048576" s="157">
        <f>COUNT(A2:A1048575)</f>
        <v>455</v>
      </c>
    </row>
  </sheetData>
  <autoFilter ref="A1:J1085" xr:uid="{16397529-E680-401A-B2F0-5C92EC362762}"/>
  <phoneticPr fontId="1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72A7B-C93D-4DCB-989E-C0B0F5C6D521}">
  <dimension ref="A1:CI1048576"/>
  <sheetViews>
    <sheetView topLeftCell="A107" zoomScale="70" zoomScaleNormal="70" workbookViewId="0">
      <selection activeCell="F116" sqref="F116"/>
    </sheetView>
  </sheetViews>
  <sheetFormatPr defaultColWidth="9" defaultRowHeight="18.75"/>
  <cols>
    <col min="1" max="1" width="8.625" style="157" customWidth="1"/>
    <col min="2" max="2" width="18.125" style="149" customWidth="1"/>
    <col min="3" max="3" width="18" style="292" customWidth="1"/>
    <col min="4" max="4" width="11.625" style="296" bestFit="1" customWidth="1"/>
    <col min="5" max="5" width="54.125" style="149" customWidth="1"/>
    <col min="6" max="6" width="76" style="156" customWidth="1"/>
    <col min="7" max="7" width="18.125" style="149" customWidth="1"/>
    <col min="8" max="8" width="54.125" style="156" customWidth="1"/>
    <col min="9" max="9" width="26.625" style="149" customWidth="1"/>
    <col min="10" max="12" width="9" style="149"/>
    <col min="13" max="13" width="18.125" style="149" customWidth="1"/>
    <col min="14" max="16384" width="9" style="149"/>
  </cols>
  <sheetData>
    <row r="1" spans="1:16" ht="78" customHeight="1">
      <c r="A1" s="203" t="s">
        <v>1245</v>
      </c>
      <c r="B1" s="204" t="s">
        <v>1246</v>
      </c>
      <c r="C1" s="205" t="s">
        <v>1247</v>
      </c>
      <c r="D1" s="203" t="s">
        <v>1248</v>
      </c>
      <c r="E1" s="203" t="s">
        <v>1249</v>
      </c>
      <c r="F1" s="203" t="s">
        <v>1250</v>
      </c>
      <c r="G1" s="203" t="s">
        <v>1251</v>
      </c>
      <c r="H1" s="203" t="s">
        <v>1252</v>
      </c>
      <c r="I1" s="206" t="s">
        <v>1253</v>
      </c>
      <c r="J1" s="206" t="s">
        <v>1254</v>
      </c>
    </row>
    <row r="2" spans="1:16" ht="78" customHeight="1">
      <c r="A2" s="207">
        <v>1</v>
      </c>
      <c r="B2" s="254">
        <v>45698</v>
      </c>
      <c r="C2" s="254">
        <v>45698</v>
      </c>
      <c r="D2" s="160" t="s">
        <v>1255</v>
      </c>
      <c r="E2" s="166" t="s">
        <v>1256</v>
      </c>
      <c r="F2" s="162" t="s">
        <v>1257</v>
      </c>
      <c r="G2" s="158" t="s">
        <v>1258</v>
      </c>
      <c r="H2" s="156" t="s">
        <v>1259</v>
      </c>
      <c r="I2" s="149" t="s">
        <v>1260</v>
      </c>
      <c r="J2" s="155"/>
    </row>
    <row r="3" spans="1:16" ht="78" customHeight="1">
      <c r="A3" s="157">
        <v>2</v>
      </c>
      <c r="B3" s="267">
        <v>45701</v>
      </c>
      <c r="C3" s="267">
        <v>45701</v>
      </c>
      <c r="D3" s="160" t="s">
        <v>1255</v>
      </c>
      <c r="E3" s="166" t="s">
        <v>1256</v>
      </c>
      <c r="F3" s="162" t="s">
        <v>1257</v>
      </c>
      <c r="G3" s="158" t="s">
        <v>1258</v>
      </c>
      <c r="I3" s="149" t="s">
        <v>1261</v>
      </c>
      <c r="J3" s="167"/>
    </row>
    <row r="4" spans="1:16" ht="78" customHeight="1">
      <c r="A4" s="157">
        <v>3</v>
      </c>
      <c r="B4" s="267">
        <v>45701</v>
      </c>
      <c r="C4" s="267">
        <v>45701</v>
      </c>
      <c r="D4" s="160" t="s">
        <v>1255</v>
      </c>
      <c r="E4" s="166" t="s">
        <v>1256</v>
      </c>
      <c r="F4" s="162" t="s">
        <v>1257</v>
      </c>
      <c r="G4" s="158" t="s">
        <v>1258</v>
      </c>
      <c r="I4" s="149" t="s">
        <v>1262</v>
      </c>
      <c r="J4" s="155"/>
      <c r="K4" s="181"/>
    </row>
    <row r="5" spans="1:16" ht="78" customHeight="1">
      <c r="A5" s="157">
        <v>4</v>
      </c>
      <c r="B5" s="267">
        <v>45701</v>
      </c>
      <c r="C5" s="267">
        <v>45701</v>
      </c>
      <c r="D5" s="160" t="s">
        <v>1255</v>
      </c>
      <c r="E5" s="166" t="s">
        <v>1256</v>
      </c>
      <c r="F5" s="162" t="s">
        <v>1257</v>
      </c>
      <c r="G5" s="158" t="s">
        <v>1258</v>
      </c>
      <c r="I5" s="149" t="s">
        <v>1263</v>
      </c>
      <c r="J5" s="167"/>
      <c r="K5" s="171"/>
    </row>
    <row r="6" spans="1:16" ht="78" customHeight="1">
      <c r="A6" s="157">
        <v>5</v>
      </c>
      <c r="B6" s="254">
        <v>45702</v>
      </c>
      <c r="C6" s="254">
        <v>45702</v>
      </c>
      <c r="D6" s="210" t="s">
        <v>1264</v>
      </c>
      <c r="E6" s="166" t="s">
        <v>1265</v>
      </c>
      <c r="F6" s="259" t="s">
        <v>1266</v>
      </c>
      <c r="G6" s="158" t="s">
        <v>1258</v>
      </c>
      <c r="H6" s="175" t="s">
        <v>1267</v>
      </c>
      <c r="I6" s="159" t="s">
        <v>1260</v>
      </c>
      <c r="J6" s="166"/>
      <c r="K6" s="161"/>
      <c r="L6" s="161"/>
    </row>
    <row r="7" spans="1:16" ht="78" customHeight="1">
      <c r="A7" s="157">
        <v>6</v>
      </c>
      <c r="B7" s="254">
        <v>45705</v>
      </c>
      <c r="C7" s="254">
        <v>45705</v>
      </c>
      <c r="D7" s="160" t="s">
        <v>1255</v>
      </c>
      <c r="E7" s="166" t="s">
        <v>1256</v>
      </c>
      <c r="F7" s="162" t="s">
        <v>1257</v>
      </c>
      <c r="G7" s="158" t="s">
        <v>1258</v>
      </c>
      <c r="H7" s="236"/>
      <c r="I7" s="149" t="s">
        <v>1268</v>
      </c>
      <c r="J7" s="167"/>
    </row>
    <row r="8" spans="1:16" ht="78" customHeight="1">
      <c r="A8" s="157">
        <v>7</v>
      </c>
      <c r="B8" s="254">
        <v>45705</v>
      </c>
      <c r="C8" s="254">
        <v>45705</v>
      </c>
      <c r="D8" s="210" t="s">
        <v>1264</v>
      </c>
      <c r="E8" s="173" t="s">
        <v>1269</v>
      </c>
      <c r="F8" s="163" t="s">
        <v>1270</v>
      </c>
      <c r="G8" s="158" t="s">
        <v>1258</v>
      </c>
      <c r="H8" s="236" t="s">
        <v>1271</v>
      </c>
      <c r="I8" s="149" t="s">
        <v>1260</v>
      </c>
      <c r="J8" s="158"/>
    </row>
    <row r="9" spans="1:16" ht="78" customHeight="1">
      <c r="A9" s="157">
        <v>8</v>
      </c>
      <c r="B9" s="254">
        <v>45706</v>
      </c>
      <c r="C9" s="254">
        <v>45706</v>
      </c>
      <c r="D9" s="160" t="s">
        <v>1255</v>
      </c>
      <c r="E9" s="166" t="s">
        <v>1256</v>
      </c>
      <c r="F9" s="162" t="s">
        <v>1257</v>
      </c>
      <c r="G9" s="158" t="s">
        <v>1258</v>
      </c>
      <c r="H9" s="247"/>
      <c r="I9" s="149" t="s">
        <v>1272</v>
      </c>
    </row>
    <row r="10" spans="1:16" ht="78" customHeight="1">
      <c r="A10" s="157">
        <v>9</v>
      </c>
      <c r="B10" s="254">
        <v>45706</v>
      </c>
      <c r="C10" s="254">
        <v>45706</v>
      </c>
      <c r="D10" s="160" t="s">
        <v>1255</v>
      </c>
      <c r="E10" s="166" t="s">
        <v>1256</v>
      </c>
      <c r="F10" s="162" t="s">
        <v>1257</v>
      </c>
      <c r="G10" s="158" t="s">
        <v>1258</v>
      </c>
      <c r="H10" s="247"/>
      <c r="I10" s="149" t="s">
        <v>1046</v>
      </c>
    </row>
    <row r="11" spans="1:16" ht="78" customHeight="1">
      <c r="A11" s="157">
        <v>10</v>
      </c>
      <c r="B11" s="254">
        <v>45706</v>
      </c>
      <c r="C11" s="254">
        <v>45706</v>
      </c>
      <c r="D11" s="160" t="s">
        <v>1255</v>
      </c>
      <c r="E11" s="166" t="s">
        <v>1256</v>
      </c>
      <c r="F11" s="162" t="s">
        <v>1257</v>
      </c>
      <c r="G11" s="158" t="s">
        <v>1258</v>
      </c>
      <c r="H11" s="163"/>
      <c r="I11" s="149" t="s">
        <v>1120</v>
      </c>
    </row>
    <row r="12" spans="1:16" ht="78" customHeight="1">
      <c r="A12" s="157">
        <v>11</v>
      </c>
      <c r="B12" s="254">
        <v>45706</v>
      </c>
      <c r="C12" s="254">
        <v>45706</v>
      </c>
      <c r="D12" s="160" t="s">
        <v>1255</v>
      </c>
      <c r="E12" s="166" t="s">
        <v>1256</v>
      </c>
      <c r="F12" s="162" t="s">
        <v>1257</v>
      </c>
      <c r="G12" s="158" t="s">
        <v>1258</v>
      </c>
      <c r="H12" s="220"/>
      <c r="I12" s="149" t="s">
        <v>1273</v>
      </c>
    </row>
    <row r="13" spans="1:16" ht="78" customHeight="1">
      <c r="A13" s="157">
        <v>12</v>
      </c>
      <c r="B13" s="254">
        <v>45706</v>
      </c>
      <c r="C13" s="254">
        <v>45706</v>
      </c>
      <c r="D13" s="160" t="s">
        <v>1255</v>
      </c>
      <c r="E13" s="166" t="s">
        <v>1256</v>
      </c>
      <c r="F13" s="162" t="s">
        <v>1257</v>
      </c>
      <c r="G13" s="158" t="s">
        <v>1258</v>
      </c>
      <c r="H13" s="165"/>
      <c r="I13" s="173" t="s">
        <v>1115</v>
      </c>
      <c r="J13" s="155"/>
    </row>
    <row r="14" spans="1:16" ht="78" customHeight="1">
      <c r="A14" s="157">
        <v>13</v>
      </c>
      <c r="B14" s="254">
        <v>45706</v>
      </c>
      <c r="C14" s="254">
        <v>45706</v>
      </c>
      <c r="D14" s="160" t="s">
        <v>1255</v>
      </c>
      <c r="E14" s="166" t="s">
        <v>1256</v>
      </c>
      <c r="F14" s="162" t="s">
        <v>1257</v>
      </c>
      <c r="G14" s="158" t="s">
        <v>1258</v>
      </c>
      <c r="H14" s="162"/>
      <c r="I14" s="149" t="s">
        <v>1056</v>
      </c>
      <c r="J14" s="166"/>
      <c r="K14" s="181"/>
    </row>
    <row r="15" spans="1:16" ht="78" customHeight="1">
      <c r="A15" s="157">
        <v>14</v>
      </c>
      <c r="B15" s="254">
        <v>45706</v>
      </c>
      <c r="C15" s="254">
        <v>45706</v>
      </c>
      <c r="D15" s="160" t="s">
        <v>1255</v>
      </c>
      <c r="E15" s="166" t="s">
        <v>1256</v>
      </c>
      <c r="F15" s="162" t="s">
        <v>1257</v>
      </c>
      <c r="G15" s="158" t="s">
        <v>1258</v>
      </c>
      <c r="H15" s="165"/>
      <c r="I15" s="149" t="s">
        <v>1274</v>
      </c>
      <c r="J15" s="168"/>
      <c r="K15" s="171"/>
    </row>
    <row r="16" spans="1:16" ht="78" customHeight="1">
      <c r="A16" s="157">
        <v>15</v>
      </c>
      <c r="B16" s="254">
        <v>45707</v>
      </c>
      <c r="C16" s="254">
        <v>45707</v>
      </c>
      <c r="D16" s="160" t="s">
        <v>1255</v>
      </c>
      <c r="E16" s="166" t="s">
        <v>1256</v>
      </c>
      <c r="F16" s="162" t="s">
        <v>1257</v>
      </c>
      <c r="G16" s="158" t="s">
        <v>1258</v>
      </c>
      <c r="H16" s="154" t="s">
        <v>1275</v>
      </c>
      <c r="I16" s="149" t="s">
        <v>1066</v>
      </c>
      <c r="J16" s="170"/>
      <c r="K16" s="166"/>
      <c r="L16" s="176"/>
      <c r="M16" s="166"/>
      <c r="N16" s="181"/>
      <c r="O16" s="176"/>
      <c r="P16" s="181"/>
    </row>
    <row r="17" spans="1:16" ht="78" customHeight="1">
      <c r="A17" s="157">
        <v>16</v>
      </c>
      <c r="B17" s="254">
        <v>45707</v>
      </c>
      <c r="C17" s="254">
        <v>45707</v>
      </c>
      <c r="D17" s="160" t="s">
        <v>1255</v>
      </c>
      <c r="E17" s="166" t="s">
        <v>1256</v>
      </c>
      <c r="F17" s="162" t="s">
        <v>1257</v>
      </c>
      <c r="G17" s="166" t="s">
        <v>1258</v>
      </c>
      <c r="H17" s="154"/>
      <c r="I17" s="149" t="s">
        <v>1026</v>
      </c>
      <c r="K17" s="170"/>
      <c r="L17" s="182"/>
      <c r="M17" s="209"/>
      <c r="N17" s="158"/>
      <c r="O17" s="182"/>
      <c r="P17" s="158"/>
    </row>
    <row r="18" spans="1:16" ht="78" customHeight="1">
      <c r="A18" s="157">
        <v>17</v>
      </c>
      <c r="B18" s="254">
        <v>45707</v>
      </c>
      <c r="C18" s="254">
        <v>45707</v>
      </c>
      <c r="D18" s="160" t="s">
        <v>1255</v>
      </c>
      <c r="E18" s="166" t="s">
        <v>1256</v>
      </c>
      <c r="F18" s="162" t="s">
        <v>1257</v>
      </c>
      <c r="G18" s="159" t="s">
        <v>1258</v>
      </c>
      <c r="H18" s="154"/>
      <c r="I18" s="171" t="s">
        <v>1061</v>
      </c>
      <c r="M18" s="159"/>
    </row>
    <row r="19" spans="1:16" ht="78" customHeight="1">
      <c r="A19" s="157">
        <v>18</v>
      </c>
      <c r="B19" s="254">
        <v>45707</v>
      </c>
      <c r="C19" s="254">
        <v>45707</v>
      </c>
      <c r="D19" s="160" t="s">
        <v>1255</v>
      </c>
      <c r="E19" s="166" t="s">
        <v>1256</v>
      </c>
      <c r="F19" s="162" t="s">
        <v>1257</v>
      </c>
      <c r="G19" s="159" t="s">
        <v>1258</v>
      </c>
      <c r="H19" s="156" t="s">
        <v>1276</v>
      </c>
      <c r="I19" s="155" t="s">
        <v>1277</v>
      </c>
    </row>
    <row r="20" spans="1:16" ht="78" customHeight="1">
      <c r="A20" s="157">
        <v>19</v>
      </c>
      <c r="B20" s="254">
        <v>45707</v>
      </c>
      <c r="C20" s="254">
        <v>45707</v>
      </c>
      <c r="D20" s="226" t="s">
        <v>1255</v>
      </c>
      <c r="E20" s="155" t="s">
        <v>1256</v>
      </c>
      <c r="F20" s="179" t="s">
        <v>1257</v>
      </c>
      <c r="G20" s="155" t="s">
        <v>1258</v>
      </c>
      <c r="I20" s="167" t="s">
        <v>1080</v>
      </c>
    </row>
    <row r="21" spans="1:16" ht="78" customHeight="1">
      <c r="A21" s="157">
        <v>20</v>
      </c>
      <c r="B21" s="254">
        <v>45707</v>
      </c>
      <c r="C21" s="254">
        <v>45707</v>
      </c>
      <c r="D21" s="160" t="s">
        <v>1255</v>
      </c>
      <c r="E21" s="166" t="s">
        <v>1256</v>
      </c>
      <c r="F21" s="165" t="s">
        <v>1257</v>
      </c>
      <c r="G21" s="166" t="s">
        <v>1258</v>
      </c>
      <c r="H21" s="297"/>
      <c r="I21" s="166" t="s">
        <v>1031</v>
      </c>
      <c r="J21" s="181"/>
      <c r="K21" s="181"/>
    </row>
    <row r="22" spans="1:16" ht="78" customHeight="1">
      <c r="A22" s="157">
        <v>21</v>
      </c>
      <c r="B22" s="269">
        <v>45708</v>
      </c>
      <c r="C22" s="269">
        <v>45708</v>
      </c>
      <c r="D22" s="160" t="s">
        <v>1255</v>
      </c>
      <c r="E22" s="166" t="s">
        <v>1256</v>
      </c>
      <c r="F22" s="162" t="s">
        <v>1257</v>
      </c>
      <c r="G22" s="158" t="s">
        <v>1258</v>
      </c>
      <c r="H22" s="154" t="s">
        <v>1275</v>
      </c>
      <c r="I22" s="149" t="s">
        <v>1095</v>
      </c>
      <c r="J22" s="159"/>
      <c r="K22" s="158"/>
    </row>
    <row r="23" spans="1:16" ht="78" customHeight="1">
      <c r="A23" s="157">
        <v>22</v>
      </c>
      <c r="B23" s="269">
        <v>45708</v>
      </c>
      <c r="C23" s="269">
        <v>45708</v>
      </c>
      <c r="D23" s="160" t="s">
        <v>1255</v>
      </c>
      <c r="E23" s="166" t="s">
        <v>1256</v>
      </c>
      <c r="F23" s="162" t="s">
        <v>1257</v>
      </c>
      <c r="G23" s="158" t="s">
        <v>1258</v>
      </c>
      <c r="H23" s="154" t="s">
        <v>1275</v>
      </c>
      <c r="I23" s="149" t="s">
        <v>1278</v>
      </c>
      <c r="J23" s="159"/>
    </row>
    <row r="24" spans="1:16" ht="78" customHeight="1">
      <c r="A24" s="157">
        <v>23</v>
      </c>
      <c r="B24" s="269">
        <v>45708</v>
      </c>
      <c r="C24" s="269">
        <v>45708</v>
      </c>
      <c r="D24" s="160" t="s">
        <v>1255</v>
      </c>
      <c r="E24" s="166" t="s">
        <v>1256</v>
      </c>
      <c r="F24" s="162" t="s">
        <v>1257</v>
      </c>
      <c r="G24" s="158" t="s">
        <v>1258</v>
      </c>
      <c r="H24" s="156" t="s">
        <v>1279</v>
      </c>
      <c r="I24" s="149" t="s">
        <v>1041</v>
      </c>
    </row>
    <row r="25" spans="1:16" ht="78" customHeight="1">
      <c r="A25" s="157">
        <v>24</v>
      </c>
      <c r="B25" s="269">
        <v>45708</v>
      </c>
      <c r="C25" s="269">
        <v>45708</v>
      </c>
      <c r="D25" s="160" t="s">
        <v>1255</v>
      </c>
      <c r="E25" s="166" t="s">
        <v>1256</v>
      </c>
      <c r="F25" s="162" t="s">
        <v>1257</v>
      </c>
      <c r="G25" s="158" t="s">
        <v>1258</v>
      </c>
      <c r="H25" s="154"/>
      <c r="I25" s="169" t="s">
        <v>1036</v>
      </c>
      <c r="J25" s="181"/>
    </row>
    <row r="26" spans="1:16" ht="78" customHeight="1">
      <c r="A26" s="157">
        <v>25</v>
      </c>
      <c r="B26" s="208">
        <v>45712</v>
      </c>
      <c r="C26" s="208">
        <v>45712</v>
      </c>
      <c r="D26" s="160" t="s">
        <v>1255</v>
      </c>
      <c r="E26" s="166" t="s">
        <v>1256</v>
      </c>
      <c r="F26" s="162" t="s">
        <v>1257</v>
      </c>
      <c r="G26" s="158" t="s">
        <v>1258</v>
      </c>
      <c r="H26" s="255"/>
      <c r="I26" s="155" t="s">
        <v>1075</v>
      </c>
      <c r="J26" s="181"/>
      <c r="K26" s="176"/>
      <c r="L26" s="181"/>
    </row>
    <row r="27" spans="1:16" ht="78" customHeight="1">
      <c r="A27" s="157">
        <v>26</v>
      </c>
      <c r="B27" s="208">
        <v>45712</v>
      </c>
      <c r="C27" s="208">
        <v>45712</v>
      </c>
      <c r="D27" s="160" t="s">
        <v>1255</v>
      </c>
      <c r="E27" s="166" t="s">
        <v>1256</v>
      </c>
      <c r="F27" s="162" t="s">
        <v>1257</v>
      </c>
      <c r="G27" s="158" t="s">
        <v>1258</v>
      </c>
      <c r="H27" s="165"/>
      <c r="I27" s="166" t="s">
        <v>1090</v>
      </c>
      <c r="J27" s="158"/>
      <c r="K27" s="182"/>
      <c r="L27" s="158"/>
    </row>
    <row r="28" spans="1:16" ht="78" customHeight="1">
      <c r="A28" s="157">
        <v>27</v>
      </c>
      <c r="B28" s="152">
        <v>45714</v>
      </c>
      <c r="C28" s="152">
        <v>45714</v>
      </c>
      <c r="D28" s="160" t="s">
        <v>1255</v>
      </c>
      <c r="E28" s="166" t="s">
        <v>1256</v>
      </c>
      <c r="F28" s="162" t="s">
        <v>1257</v>
      </c>
      <c r="G28" s="158" t="s">
        <v>1258</v>
      </c>
      <c r="H28" s="180" t="s">
        <v>1280</v>
      </c>
      <c r="I28" s="159" t="s">
        <v>1022</v>
      </c>
      <c r="J28" s="158"/>
      <c r="K28" s="158"/>
    </row>
    <row r="29" spans="1:16" ht="78" customHeight="1">
      <c r="A29" s="157">
        <v>28</v>
      </c>
      <c r="B29" s="152">
        <v>45714</v>
      </c>
      <c r="C29" s="152">
        <v>45714</v>
      </c>
      <c r="D29" s="160" t="s">
        <v>1281</v>
      </c>
      <c r="E29" s="166" t="s">
        <v>1282</v>
      </c>
      <c r="F29" s="165" t="s">
        <v>1283</v>
      </c>
      <c r="G29" s="158" t="s">
        <v>1258</v>
      </c>
      <c r="H29" s="162" t="s">
        <v>1284</v>
      </c>
      <c r="I29" s="167" t="s">
        <v>1274</v>
      </c>
      <c r="J29" s="171"/>
    </row>
    <row r="30" spans="1:16" ht="78" customHeight="1">
      <c r="A30" s="157">
        <v>29</v>
      </c>
      <c r="B30" s="152">
        <v>45716</v>
      </c>
      <c r="C30" s="152">
        <v>45716</v>
      </c>
      <c r="D30" s="160" t="s">
        <v>1281</v>
      </c>
      <c r="E30" s="159" t="s">
        <v>1285</v>
      </c>
      <c r="F30" s="162" t="s">
        <v>1286</v>
      </c>
      <c r="G30" s="158" t="s">
        <v>1258</v>
      </c>
      <c r="H30" s="260" t="s">
        <v>1287</v>
      </c>
      <c r="I30" s="159" t="s">
        <v>1260</v>
      </c>
      <c r="J30" s="158"/>
    </row>
    <row r="31" spans="1:16" ht="78" customHeight="1">
      <c r="A31" s="157">
        <v>30</v>
      </c>
      <c r="B31" s="152">
        <v>45716</v>
      </c>
      <c r="C31" s="152">
        <v>45716</v>
      </c>
      <c r="D31" s="160" t="s">
        <v>1281</v>
      </c>
      <c r="E31" s="155" t="s">
        <v>1288</v>
      </c>
      <c r="F31" s="165" t="s">
        <v>1289</v>
      </c>
      <c r="G31" s="158" t="s">
        <v>1258</v>
      </c>
      <c r="H31" s="236" t="s">
        <v>1290</v>
      </c>
      <c r="I31" s="149" t="s">
        <v>1260</v>
      </c>
    </row>
    <row r="32" spans="1:16" ht="78" customHeight="1">
      <c r="A32" s="157">
        <v>31</v>
      </c>
      <c r="B32" s="152">
        <v>45723</v>
      </c>
      <c r="C32" s="152">
        <v>45723</v>
      </c>
      <c r="D32" s="160" t="s">
        <v>1255</v>
      </c>
      <c r="E32" s="166" t="s">
        <v>1256</v>
      </c>
      <c r="F32" s="162" t="s">
        <v>1257</v>
      </c>
      <c r="G32" s="158" t="s">
        <v>1258</v>
      </c>
      <c r="H32" s="163"/>
      <c r="I32" s="149" t="s">
        <v>1095</v>
      </c>
    </row>
    <row r="33" spans="1:11" ht="78" customHeight="1">
      <c r="A33" s="157">
        <v>32</v>
      </c>
      <c r="B33" s="152">
        <v>45723</v>
      </c>
      <c r="C33" s="152">
        <v>45723</v>
      </c>
      <c r="D33" s="160" t="s">
        <v>1255</v>
      </c>
      <c r="E33" s="166" t="s">
        <v>1256</v>
      </c>
      <c r="F33" s="162" t="s">
        <v>1257</v>
      </c>
      <c r="G33" s="158" t="s">
        <v>1258</v>
      </c>
      <c r="H33" s="229" t="s">
        <v>1291</v>
      </c>
      <c r="I33" s="149" t="s">
        <v>1278</v>
      </c>
    </row>
    <row r="34" spans="1:11" ht="78" customHeight="1">
      <c r="A34" s="157">
        <v>33</v>
      </c>
      <c r="B34" s="152">
        <v>45728</v>
      </c>
      <c r="C34" s="152">
        <v>45728</v>
      </c>
      <c r="D34" s="160" t="s">
        <v>1255</v>
      </c>
      <c r="E34" s="166" t="s">
        <v>1256</v>
      </c>
      <c r="F34" s="162" t="s">
        <v>1257</v>
      </c>
      <c r="G34" s="158" t="s">
        <v>1258</v>
      </c>
      <c r="H34" s="230"/>
      <c r="I34" s="149" t="s">
        <v>1261</v>
      </c>
    </row>
    <row r="35" spans="1:11" ht="78" customHeight="1">
      <c r="A35" s="157">
        <v>34</v>
      </c>
      <c r="B35" s="152">
        <v>45728</v>
      </c>
      <c r="C35" s="152">
        <v>45728</v>
      </c>
      <c r="D35" s="160" t="s">
        <v>1255</v>
      </c>
      <c r="E35" s="166" t="s">
        <v>1256</v>
      </c>
      <c r="F35" s="162" t="s">
        <v>1257</v>
      </c>
      <c r="G35" s="158" t="s">
        <v>1258</v>
      </c>
      <c r="H35" s="162"/>
      <c r="I35" s="149" t="s">
        <v>1262</v>
      </c>
    </row>
    <row r="36" spans="1:11" ht="78" customHeight="1">
      <c r="A36" s="157">
        <v>35</v>
      </c>
      <c r="B36" s="152">
        <v>45728</v>
      </c>
      <c r="C36" s="152">
        <v>45728</v>
      </c>
      <c r="D36" s="160" t="s">
        <v>1255</v>
      </c>
      <c r="E36" s="166" t="s">
        <v>1256</v>
      </c>
      <c r="F36" s="162" t="s">
        <v>1257</v>
      </c>
      <c r="G36" s="158" t="s">
        <v>1258</v>
      </c>
      <c r="H36" s="154"/>
      <c r="I36" s="149" t="s">
        <v>1263</v>
      </c>
    </row>
    <row r="37" spans="1:11" ht="78" customHeight="1">
      <c r="A37" s="157">
        <v>36</v>
      </c>
      <c r="B37" s="152">
        <v>45734</v>
      </c>
      <c r="C37" s="152">
        <v>45734</v>
      </c>
      <c r="D37" s="160" t="s">
        <v>1255</v>
      </c>
      <c r="E37" s="166" t="s">
        <v>1256</v>
      </c>
      <c r="F37" s="162" t="s">
        <v>1257</v>
      </c>
      <c r="G37" s="158" t="s">
        <v>1258</v>
      </c>
      <c r="H37" s="154" t="s">
        <v>1292</v>
      </c>
      <c r="I37" s="149" t="s">
        <v>1293</v>
      </c>
      <c r="J37" s="173"/>
      <c r="K37" s="161"/>
    </row>
    <row r="38" spans="1:11" ht="78" customHeight="1">
      <c r="A38" s="157">
        <v>37</v>
      </c>
      <c r="B38" s="152">
        <v>45734</v>
      </c>
      <c r="C38" s="152">
        <v>45734</v>
      </c>
      <c r="D38" s="160" t="s">
        <v>1255</v>
      </c>
      <c r="E38" s="166" t="s">
        <v>1256</v>
      </c>
      <c r="F38" s="162" t="s">
        <v>1257</v>
      </c>
      <c r="G38" s="158" t="s">
        <v>1258</v>
      </c>
      <c r="H38" s="154"/>
      <c r="I38" s="149" t="s">
        <v>1120</v>
      </c>
    </row>
    <row r="39" spans="1:11" ht="78" customHeight="1">
      <c r="A39" s="157">
        <v>38</v>
      </c>
      <c r="B39" s="152">
        <v>45734</v>
      </c>
      <c r="C39" s="152">
        <v>45734</v>
      </c>
      <c r="D39" s="160" t="s">
        <v>1255</v>
      </c>
      <c r="E39" s="166" t="s">
        <v>1256</v>
      </c>
      <c r="F39" s="162" t="s">
        <v>1257</v>
      </c>
      <c r="G39" s="158" t="s">
        <v>1258</v>
      </c>
      <c r="H39" s="154"/>
      <c r="I39" s="149" t="s">
        <v>1115</v>
      </c>
    </row>
    <row r="40" spans="1:11" ht="78" customHeight="1">
      <c r="A40" s="157">
        <v>39</v>
      </c>
      <c r="B40" s="152">
        <v>45734</v>
      </c>
      <c r="C40" s="152">
        <v>45734</v>
      </c>
      <c r="D40" s="160" t="s">
        <v>1255</v>
      </c>
      <c r="E40" s="166" t="s">
        <v>1256</v>
      </c>
      <c r="F40" s="162" t="s">
        <v>1257</v>
      </c>
      <c r="G40" s="158" t="s">
        <v>1258</v>
      </c>
      <c r="H40" s="154" t="s">
        <v>1294</v>
      </c>
      <c r="I40" s="149" t="s">
        <v>1080</v>
      </c>
    </row>
    <row r="41" spans="1:11" ht="78" customHeight="1">
      <c r="A41" s="157">
        <v>40</v>
      </c>
      <c r="B41" s="152">
        <v>45734</v>
      </c>
      <c r="C41" s="152">
        <v>45734</v>
      </c>
      <c r="D41" s="160" t="s">
        <v>1255</v>
      </c>
      <c r="E41" s="166" t="s">
        <v>1256</v>
      </c>
      <c r="F41" s="162" t="s">
        <v>1257</v>
      </c>
      <c r="G41" s="158" t="s">
        <v>1258</v>
      </c>
      <c r="H41" s="154"/>
      <c r="I41" s="149" t="s">
        <v>1031</v>
      </c>
    </row>
    <row r="42" spans="1:11" ht="78" customHeight="1">
      <c r="A42" s="157">
        <v>41</v>
      </c>
      <c r="B42" s="152">
        <v>45736</v>
      </c>
      <c r="C42" s="152">
        <v>45736</v>
      </c>
      <c r="D42" s="160" t="s">
        <v>1255</v>
      </c>
      <c r="E42" s="166" t="s">
        <v>1256</v>
      </c>
      <c r="F42" s="162" t="s">
        <v>1257</v>
      </c>
      <c r="G42" s="158" t="s">
        <v>1258</v>
      </c>
      <c r="H42" s="162"/>
      <c r="I42" s="149" t="s">
        <v>1036</v>
      </c>
    </row>
    <row r="43" spans="1:11" ht="78" customHeight="1">
      <c r="A43" s="157">
        <v>42</v>
      </c>
      <c r="B43" s="152">
        <v>45736</v>
      </c>
      <c r="C43" s="152">
        <v>45736</v>
      </c>
      <c r="D43" s="160" t="s">
        <v>1255</v>
      </c>
      <c r="E43" s="166" t="s">
        <v>1256</v>
      </c>
      <c r="F43" s="162" t="s">
        <v>1257</v>
      </c>
      <c r="G43" s="158" t="s">
        <v>1258</v>
      </c>
      <c r="H43" s="165"/>
      <c r="I43" s="149" t="s">
        <v>1046</v>
      </c>
    </row>
    <row r="44" spans="1:11" ht="78" customHeight="1">
      <c r="A44" s="157">
        <v>43</v>
      </c>
      <c r="B44" s="152">
        <v>45736</v>
      </c>
      <c r="C44" s="152">
        <v>45736</v>
      </c>
      <c r="D44" s="160" t="s">
        <v>1255</v>
      </c>
      <c r="E44" s="166" t="s">
        <v>1256</v>
      </c>
      <c r="F44" s="162" t="s">
        <v>1257</v>
      </c>
      <c r="G44" s="158" t="s">
        <v>1258</v>
      </c>
      <c r="H44" s="237" t="s">
        <v>1295</v>
      </c>
      <c r="I44" s="149" t="s">
        <v>1041</v>
      </c>
    </row>
    <row r="45" spans="1:11" ht="78" customHeight="1">
      <c r="A45" s="157">
        <v>44</v>
      </c>
      <c r="B45" s="152">
        <v>45736</v>
      </c>
      <c r="C45" s="152">
        <v>45736</v>
      </c>
      <c r="D45" s="160" t="s">
        <v>1255</v>
      </c>
      <c r="E45" s="166" t="s">
        <v>1256</v>
      </c>
      <c r="F45" s="162" t="s">
        <v>1257</v>
      </c>
      <c r="G45" s="158" t="s">
        <v>1258</v>
      </c>
      <c r="H45" s="220" t="s">
        <v>1296</v>
      </c>
      <c r="I45" s="149" t="s">
        <v>1272</v>
      </c>
    </row>
    <row r="46" spans="1:11" ht="78" customHeight="1">
      <c r="A46" s="157">
        <v>45</v>
      </c>
      <c r="B46" s="152">
        <v>45737</v>
      </c>
      <c r="C46" s="152">
        <v>45737</v>
      </c>
      <c r="D46" s="160" t="s">
        <v>1255</v>
      </c>
      <c r="E46" s="166" t="s">
        <v>1256</v>
      </c>
      <c r="F46" s="162" t="s">
        <v>1257</v>
      </c>
      <c r="G46" s="158" t="s">
        <v>1258</v>
      </c>
      <c r="H46" s="163"/>
      <c r="I46" s="149" t="s">
        <v>1268</v>
      </c>
    </row>
    <row r="47" spans="1:11" ht="78" customHeight="1">
      <c r="A47" s="157">
        <v>46</v>
      </c>
      <c r="B47" s="152">
        <v>45737</v>
      </c>
      <c r="C47" s="152">
        <v>45737</v>
      </c>
      <c r="D47" s="160" t="s">
        <v>1255</v>
      </c>
      <c r="E47" s="166" t="s">
        <v>1256</v>
      </c>
      <c r="F47" s="162" t="s">
        <v>1257</v>
      </c>
      <c r="G47" s="158" t="s">
        <v>1258</v>
      </c>
      <c r="H47" s="237" t="s">
        <v>1297</v>
      </c>
      <c r="I47" s="149" t="s">
        <v>1260</v>
      </c>
    </row>
    <row r="48" spans="1:11" ht="78" customHeight="1">
      <c r="A48" s="157">
        <v>47</v>
      </c>
      <c r="B48" s="152">
        <v>45737</v>
      </c>
      <c r="C48" s="152">
        <v>45737</v>
      </c>
      <c r="D48" s="160" t="s">
        <v>1255</v>
      </c>
      <c r="E48" s="166" t="s">
        <v>1256</v>
      </c>
      <c r="F48" s="162" t="s">
        <v>1257</v>
      </c>
      <c r="G48" s="158" t="s">
        <v>1258</v>
      </c>
      <c r="H48" s="165"/>
      <c r="I48" s="242" t="s">
        <v>1066</v>
      </c>
    </row>
    <row r="49" spans="1:10" ht="78" customHeight="1">
      <c r="A49" s="157">
        <v>48</v>
      </c>
      <c r="B49" s="152">
        <v>45740</v>
      </c>
      <c r="C49" s="152">
        <v>45740</v>
      </c>
      <c r="D49" s="160" t="s">
        <v>1255</v>
      </c>
      <c r="E49" s="166" t="s">
        <v>1256</v>
      </c>
      <c r="F49" s="162" t="s">
        <v>1257</v>
      </c>
      <c r="G49" s="158" t="s">
        <v>1258</v>
      </c>
      <c r="H49" s="163" t="s">
        <v>1298</v>
      </c>
      <c r="I49" s="164" t="s">
        <v>1061</v>
      </c>
      <c r="J49" s="161"/>
    </row>
    <row r="50" spans="1:10" ht="78" customHeight="1">
      <c r="A50" s="157">
        <v>49</v>
      </c>
      <c r="B50" s="152">
        <v>45740</v>
      </c>
      <c r="C50" s="152">
        <v>45740</v>
      </c>
      <c r="D50" s="160" t="s">
        <v>1255</v>
      </c>
      <c r="E50" s="166" t="s">
        <v>1256</v>
      </c>
      <c r="F50" s="162" t="s">
        <v>1257</v>
      </c>
      <c r="G50" s="158" t="s">
        <v>1258</v>
      </c>
      <c r="H50" s="236"/>
      <c r="I50" s="149" t="s">
        <v>1075</v>
      </c>
    </row>
    <row r="51" spans="1:10" ht="78" customHeight="1">
      <c r="A51" s="157">
        <v>50</v>
      </c>
      <c r="B51" s="152">
        <v>45740</v>
      </c>
      <c r="C51" s="152">
        <v>45740</v>
      </c>
      <c r="D51" s="160" t="s">
        <v>1255</v>
      </c>
      <c r="E51" s="166" t="s">
        <v>1256</v>
      </c>
      <c r="F51" s="162" t="s">
        <v>1257</v>
      </c>
      <c r="G51" s="158" t="s">
        <v>1258</v>
      </c>
      <c r="I51" s="149" t="s">
        <v>1090</v>
      </c>
    </row>
    <row r="52" spans="1:10" ht="78" customHeight="1">
      <c r="A52" s="157">
        <v>51</v>
      </c>
      <c r="B52" s="152">
        <v>45740</v>
      </c>
      <c r="C52" s="152">
        <v>45740</v>
      </c>
      <c r="D52" s="160" t="s">
        <v>1255</v>
      </c>
      <c r="E52" s="166" t="s">
        <v>1256</v>
      </c>
      <c r="F52" s="162" t="s">
        <v>1257</v>
      </c>
      <c r="G52" s="158" t="s">
        <v>1258</v>
      </c>
      <c r="H52" s="259" t="s">
        <v>1299</v>
      </c>
      <c r="I52" s="149" t="s">
        <v>1026</v>
      </c>
    </row>
    <row r="53" spans="1:10" ht="78" customHeight="1">
      <c r="A53" s="157">
        <v>52</v>
      </c>
      <c r="B53" s="152">
        <v>45741</v>
      </c>
      <c r="C53" s="152">
        <v>45741</v>
      </c>
      <c r="D53" s="160" t="s">
        <v>1255</v>
      </c>
      <c r="E53" s="166" t="s">
        <v>1256</v>
      </c>
      <c r="F53" s="162" t="s">
        <v>1257</v>
      </c>
      <c r="G53" s="158" t="s">
        <v>1258</v>
      </c>
      <c r="H53" s="224"/>
      <c r="I53" s="149" t="s">
        <v>1274</v>
      </c>
    </row>
    <row r="54" spans="1:10" ht="78" customHeight="1">
      <c r="A54" s="157">
        <v>53</v>
      </c>
      <c r="B54" s="152">
        <v>45741</v>
      </c>
      <c r="C54" s="152">
        <v>45741</v>
      </c>
      <c r="D54" s="160" t="s">
        <v>1255</v>
      </c>
      <c r="E54" s="166" t="s">
        <v>1256</v>
      </c>
      <c r="F54" s="162" t="s">
        <v>1257</v>
      </c>
      <c r="G54" s="158" t="s">
        <v>1258</v>
      </c>
      <c r="I54" s="149" t="s">
        <v>1056</v>
      </c>
    </row>
    <row r="55" spans="1:10" ht="78" customHeight="1">
      <c r="A55" s="157">
        <v>54</v>
      </c>
      <c r="B55" s="152">
        <v>45741</v>
      </c>
      <c r="C55" s="152">
        <v>45741</v>
      </c>
      <c r="D55" s="160" t="s">
        <v>1255</v>
      </c>
      <c r="E55" s="166" t="s">
        <v>1256</v>
      </c>
      <c r="F55" s="162" t="s">
        <v>1257</v>
      </c>
      <c r="G55" s="158" t="s">
        <v>1258</v>
      </c>
      <c r="I55" s="149" t="s">
        <v>1277</v>
      </c>
    </row>
    <row r="56" spans="1:10" ht="78" customHeight="1">
      <c r="A56" s="157">
        <v>55</v>
      </c>
      <c r="B56" s="245">
        <v>45742</v>
      </c>
      <c r="C56" s="245">
        <v>45742</v>
      </c>
      <c r="D56" s="160" t="s">
        <v>1255</v>
      </c>
      <c r="E56" s="166" t="s">
        <v>1256</v>
      </c>
      <c r="F56" s="162" t="s">
        <v>1257</v>
      </c>
      <c r="G56" s="158" t="s">
        <v>1258</v>
      </c>
      <c r="I56" s="149" t="s">
        <v>1022</v>
      </c>
    </row>
    <row r="57" spans="1:10" ht="78" customHeight="1">
      <c r="A57" s="157">
        <v>56</v>
      </c>
      <c r="B57" s="245">
        <v>45743</v>
      </c>
      <c r="C57" s="245">
        <v>45743</v>
      </c>
      <c r="D57" s="176" t="s">
        <v>1264</v>
      </c>
      <c r="E57" s="155" t="s">
        <v>1300</v>
      </c>
      <c r="F57" s="218" t="s">
        <v>1301</v>
      </c>
      <c r="G57" s="158" t="s">
        <v>1258</v>
      </c>
      <c r="H57" s="248" t="s">
        <v>1302</v>
      </c>
      <c r="I57" s="181" t="s">
        <v>1070</v>
      </c>
    </row>
    <row r="58" spans="1:10" ht="78" customHeight="1">
      <c r="A58" s="271">
        <v>57</v>
      </c>
      <c r="B58" s="245">
        <v>45749</v>
      </c>
      <c r="C58" s="245">
        <v>45749</v>
      </c>
      <c r="D58" s="176" t="s">
        <v>1264</v>
      </c>
      <c r="E58" s="166" t="s">
        <v>1303</v>
      </c>
      <c r="F58" s="163" t="s">
        <v>1304</v>
      </c>
      <c r="G58" s="158" t="s">
        <v>1258</v>
      </c>
      <c r="H58" s="247" t="s">
        <v>1305</v>
      </c>
      <c r="I58" s="158" t="s">
        <v>1306</v>
      </c>
    </row>
    <row r="59" spans="1:10" ht="78" customHeight="1">
      <c r="A59" s="272">
        <v>58</v>
      </c>
      <c r="B59" s="245">
        <v>45749</v>
      </c>
      <c r="C59" s="245">
        <v>45749</v>
      </c>
      <c r="D59" s="176" t="s">
        <v>1264</v>
      </c>
      <c r="E59" s="166" t="s">
        <v>1307</v>
      </c>
      <c r="F59" s="180" t="s">
        <v>1308</v>
      </c>
      <c r="G59" s="158" t="s">
        <v>1258</v>
      </c>
      <c r="H59" s="243" t="s">
        <v>1309</v>
      </c>
      <c r="I59" s="149" t="s">
        <v>1022</v>
      </c>
    </row>
    <row r="60" spans="1:10" ht="78" customHeight="1">
      <c r="A60" s="157">
        <v>59</v>
      </c>
      <c r="B60" s="245">
        <v>45750</v>
      </c>
      <c r="C60" s="245">
        <v>45750</v>
      </c>
      <c r="D60" s="160" t="s">
        <v>1255</v>
      </c>
      <c r="E60" s="166" t="s">
        <v>1256</v>
      </c>
      <c r="F60" s="162" t="s">
        <v>1257</v>
      </c>
      <c r="G60" s="158" t="s">
        <v>1258</v>
      </c>
      <c r="H60" s="220"/>
      <c r="I60" s="155" t="s">
        <v>1261</v>
      </c>
    </row>
    <row r="61" spans="1:10" ht="78" customHeight="1">
      <c r="A61" s="157">
        <v>60</v>
      </c>
      <c r="B61" s="245">
        <v>45756</v>
      </c>
      <c r="C61" s="245">
        <v>45756</v>
      </c>
      <c r="D61" s="160" t="s">
        <v>1255</v>
      </c>
      <c r="E61" s="166" t="s">
        <v>1256</v>
      </c>
      <c r="F61" s="162" t="s">
        <v>1257</v>
      </c>
      <c r="G61" s="158" t="s">
        <v>1258</v>
      </c>
      <c r="H61" s="237"/>
      <c r="I61" s="167" t="s">
        <v>1095</v>
      </c>
    </row>
    <row r="62" spans="1:10" ht="78" customHeight="1">
      <c r="A62" s="157">
        <v>61</v>
      </c>
      <c r="B62" s="245">
        <v>45756</v>
      </c>
      <c r="C62" s="245">
        <v>45756</v>
      </c>
      <c r="D62" s="160" t="s">
        <v>1255</v>
      </c>
      <c r="E62" s="166" t="s">
        <v>1256</v>
      </c>
      <c r="F62" s="162" t="s">
        <v>1257</v>
      </c>
      <c r="G62" s="158" t="s">
        <v>1258</v>
      </c>
      <c r="H62" s="237"/>
      <c r="I62" s="167" t="s">
        <v>1272</v>
      </c>
    </row>
    <row r="63" spans="1:10" ht="78" customHeight="1">
      <c r="A63" s="157">
        <v>62</v>
      </c>
      <c r="B63" s="245">
        <v>45756</v>
      </c>
      <c r="C63" s="245">
        <v>45756</v>
      </c>
      <c r="D63" s="160" t="s">
        <v>1255</v>
      </c>
      <c r="E63" s="166" t="s">
        <v>1256</v>
      </c>
      <c r="F63" s="162" t="s">
        <v>1257</v>
      </c>
      <c r="G63" s="158" t="s">
        <v>1258</v>
      </c>
      <c r="H63" s="165"/>
      <c r="I63" s="167" t="s">
        <v>1031</v>
      </c>
    </row>
    <row r="64" spans="1:10" ht="78" customHeight="1">
      <c r="A64" s="157">
        <v>63</v>
      </c>
      <c r="B64" s="245">
        <v>45756</v>
      </c>
      <c r="C64" s="245">
        <v>45756</v>
      </c>
      <c r="D64" s="160" t="s">
        <v>1255</v>
      </c>
      <c r="E64" s="166" t="s">
        <v>1256</v>
      </c>
      <c r="F64" s="162" t="s">
        <v>1257</v>
      </c>
      <c r="G64" s="158" t="s">
        <v>1258</v>
      </c>
      <c r="H64" s="218"/>
      <c r="I64" s="159" t="s">
        <v>1080</v>
      </c>
    </row>
    <row r="65" spans="1:11" ht="78" customHeight="1">
      <c r="A65" s="157">
        <v>64</v>
      </c>
      <c r="B65" s="245">
        <v>45756</v>
      </c>
      <c r="C65" s="245">
        <v>45756</v>
      </c>
      <c r="D65" s="160" t="s">
        <v>1255</v>
      </c>
      <c r="E65" s="166" t="s">
        <v>1256</v>
      </c>
      <c r="F65" s="180" t="s">
        <v>1310</v>
      </c>
      <c r="G65" s="158" t="s">
        <v>1258</v>
      </c>
      <c r="H65" s="180" t="s">
        <v>1311</v>
      </c>
      <c r="I65" s="149" t="s">
        <v>1115</v>
      </c>
    </row>
    <row r="66" spans="1:11" ht="78" customHeight="1">
      <c r="A66" s="157">
        <v>65</v>
      </c>
      <c r="B66" s="152">
        <v>45757</v>
      </c>
      <c r="C66" s="152">
        <v>45757</v>
      </c>
      <c r="D66" s="160" t="s">
        <v>1255</v>
      </c>
      <c r="E66" s="166" t="s">
        <v>1256</v>
      </c>
      <c r="F66" s="162" t="s">
        <v>1257</v>
      </c>
      <c r="G66" s="158" t="s">
        <v>1258</v>
      </c>
      <c r="H66" s="162"/>
      <c r="I66" s="149" t="s">
        <v>1061</v>
      </c>
    </row>
    <row r="67" spans="1:11" ht="78" customHeight="1">
      <c r="A67" s="157">
        <v>66</v>
      </c>
      <c r="B67" s="152">
        <v>45758</v>
      </c>
      <c r="C67" s="152">
        <v>45758</v>
      </c>
      <c r="D67" s="160" t="s">
        <v>1255</v>
      </c>
      <c r="E67" s="166" t="s">
        <v>1256</v>
      </c>
      <c r="F67" s="162" t="s">
        <v>1257</v>
      </c>
      <c r="G67" s="158" t="s">
        <v>1258</v>
      </c>
      <c r="H67" s="218" t="s">
        <v>1312</v>
      </c>
      <c r="I67" s="149" t="s">
        <v>1070</v>
      </c>
    </row>
    <row r="68" spans="1:11" ht="78" customHeight="1">
      <c r="A68" s="157">
        <v>67</v>
      </c>
      <c r="B68" s="152">
        <v>45762</v>
      </c>
      <c r="C68" s="152">
        <v>45762</v>
      </c>
      <c r="D68" s="160" t="s">
        <v>1255</v>
      </c>
      <c r="E68" s="166" t="s">
        <v>1256</v>
      </c>
      <c r="F68" s="162" t="s">
        <v>1257</v>
      </c>
      <c r="G68" s="158" t="s">
        <v>1258</v>
      </c>
      <c r="H68" s="162"/>
      <c r="I68" s="149" t="s">
        <v>1056</v>
      </c>
    </row>
    <row r="69" spans="1:11" ht="78" customHeight="1">
      <c r="A69" s="157">
        <v>68</v>
      </c>
      <c r="B69" s="152">
        <v>45762</v>
      </c>
      <c r="C69" s="152">
        <v>45762</v>
      </c>
      <c r="D69" s="160" t="s">
        <v>1255</v>
      </c>
      <c r="E69" s="166" t="s">
        <v>1256</v>
      </c>
      <c r="F69" s="162" t="s">
        <v>1257</v>
      </c>
      <c r="G69" s="158" t="s">
        <v>1258</v>
      </c>
      <c r="H69" s="165"/>
      <c r="I69" s="155" t="s">
        <v>1274</v>
      </c>
    </row>
    <row r="70" spans="1:11" ht="78" customHeight="1">
      <c r="A70" s="157">
        <v>69</v>
      </c>
      <c r="B70" s="152">
        <v>45762</v>
      </c>
      <c r="C70" s="152">
        <v>45762</v>
      </c>
      <c r="D70" s="160" t="s">
        <v>1255</v>
      </c>
      <c r="E70" s="166" t="s">
        <v>1256</v>
      </c>
      <c r="F70" s="162" t="s">
        <v>1257</v>
      </c>
      <c r="G70" s="158" t="s">
        <v>1258</v>
      </c>
      <c r="H70" s="165"/>
      <c r="I70" s="166" t="s">
        <v>1090</v>
      </c>
    </row>
    <row r="71" spans="1:11" ht="78" customHeight="1">
      <c r="A71" s="157">
        <v>70</v>
      </c>
      <c r="B71" s="152">
        <v>45762</v>
      </c>
      <c r="C71" s="152">
        <v>45762</v>
      </c>
      <c r="D71" s="160" t="s">
        <v>1255</v>
      </c>
      <c r="E71" s="166" t="s">
        <v>1256</v>
      </c>
      <c r="F71" s="162" t="s">
        <v>1257</v>
      </c>
      <c r="G71" s="158" t="s">
        <v>1258</v>
      </c>
      <c r="H71" s="247"/>
      <c r="I71" s="159" t="s">
        <v>1277</v>
      </c>
    </row>
    <row r="72" spans="1:11" ht="78" customHeight="1">
      <c r="A72" s="157">
        <v>71</v>
      </c>
      <c r="B72" s="152">
        <v>45763</v>
      </c>
      <c r="C72" s="152">
        <v>45763</v>
      </c>
      <c r="D72" s="160" t="s">
        <v>1255</v>
      </c>
      <c r="E72" s="166" t="s">
        <v>1256</v>
      </c>
      <c r="F72" s="162" t="s">
        <v>1257</v>
      </c>
      <c r="G72" s="158" t="s">
        <v>1258</v>
      </c>
      <c r="H72" s="220"/>
      <c r="I72" s="166" t="s">
        <v>1262</v>
      </c>
    </row>
    <row r="73" spans="1:11" ht="78" customHeight="1">
      <c r="A73" s="157">
        <v>72</v>
      </c>
      <c r="B73" s="152">
        <v>45763</v>
      </c>
      <c r="C73" s="152">
        <v>45763</v>
      </c>
      <c r="D73" s="160" t="s">
        <v>1255</v>
      </c>
      <c r="E73" s="166" t="s">
        <v>1256</v>
      </c>
      <c r="F73" s="162" t="s">
        <v>1257</v>
      </c>
      <c r="G73" s="158" t="s">
        <v>1258</v>
      </c>
      <c r="H73" s="163"/>
      <c r="I73" s="181" t="s">
        <v>1263</v>
      </c>
      <c r="J73" s="181"/>
    </row>
    <row r="74" spans="1:11" ht="78" customHeight="1">
      <c r="A74" s="157">
        <v>73</v>
      </c>
      <c r="B74" s="152">
        <v>45763</v>
      </c>
      <c r="C74" s="152">
        <v>45763</v>
      </c>
      <c r="D74" s="160" t="s">
        <v>1255</v>
      </c>
      <c r="E74" s="166" t="s">
        <v>1256</v>
      </c>
      <c r="F74" s="162" t="s">
        <v>1257</v>
      </c>
      <c r="G74" s="158" t="s">
        <v>1258</v>
      </c>
      <c r="H74" s="163"/>
      <c r="I74" s="158" t="s">
        <v>1046</v>
      </c>
      <c r="J74" s="158"/>
    </row>
    <row r="75" spans="1:11" ht="78" customHeight="1">
      <c r="A75" s="157">
        <v>74</v>
      </c>
      <c r="B75" s="152">
        <v>45764</v>
      </c>
      <c r="C75" s="152">
        <v>45764</v>
      </c>
      <c r="D75" s="160" t="s">
        <v>1255</v>
      </c>
      <c r="E75" s="166" t="s">
        <v>1256</v>
      </c>
      <c r="F75" s="162" t="s">
        <v>1257</v>
      </c>
      <c r="G75" s="158" t="s">
        <v>1258</v>
      </c>
      <c r="H75" s="165"/>
      <c r="I75" s="149" t="s">
        <v>1022</v>
      </c>
    </row>
    <row r="76" spans="1:11" ht="78" customHeight="1">
      <c r="A76" s="157">
        <v>75</v>
      </c>
      <c r="B76" s="152">
        <v>45769</v>
      </c>
      <c r="C76" s="152">
        <v>45769</v>
      </c>
      <c r="D76" s="160" t="s">
        <v>1255</v>
      </c>
      <c r="E76" s="166" t="s">
        <v>1256</v>
      </c>
      <c r="F76" s="162" t="s">
        <v>1257</v>
      </c>
      <c r="G76" s="158" t="s">
        <v>1258</v>
      </c>
      <c r="H76" s="231"/>
      <c r="I76" s="149" t="s">
        <v>1075</v>
      </c>
    </row>
    <row r="77" spans="1:11" ht="78" customHeight="1">
      <c r="A77" s="157">
        <v>76</v>
      </c>
      <c r="B77" s="152">
        <v>45769</v>
      </c>
      <c r="C77" s="152">
        <v>45769</v>
      </c>
      <c r="D77" s="160" t="s">
        <v>1255</v>
      </c>
      <c r="E77" s="166" t="s">
        <v>1256</v>
      </c>
      <c r="F77" s="162" t="s">
        <v>1257</v>
      </c>
      <c r="G77" s="158" t="s">
        <v>1258</v>
      </c>
      <c r="H77" s="162" t="s">
        <v>1313</v>
      </c>
      <c r="I77" s="155" t="s">
        <v>1036</v>
      </c>
    </row>
    <row r="78" spans="1:11" ht="78" customHeight="1">
      <c r="A78" s="157">
        <v>77</v>
      </c>
      <c r="B78" s="152">
        <v>45769</v>
      </c>
      <c r="C78" s="152">
        <v>45769</v>
      </c>
      <c r="D78" s="160" t="s">
        <v>1255</v>
      </c>
      <c r="E78" s="166" t="s">
        <v>1256</v>
      </c>
      <c r="F78" s="162" t="s">
        <v>1257</v>
      </c>
      <c r="G78" s="158" t="s">
        <v>1258</v>
      </c>
      <c r="H78" s="162" t="s">
        <v>1313</v>
      </c>
      <c r="I78" s="166" t="s">
        <v>1041</v>
      </c>
      <c r="J78" s="161"/>
    </row>
    <row r="79" spans="1:11" ht="78" customHeight="1">
      <c r="A79" s="157">
        <v>78</v>
      </c>
      <c r="B79" s="152">
        <v>45769</v>
      </c>
      <c r="C79" s="152">
        <v>45769</v>
      </c>
      <c r="D79" s="160" t="s">
        <v>1255</v>
      </c>
      <c r="E79" s="166" t="s">
        <v>1256</v>
      </c>
      <c r="F79" s="162" t="s">
        <v>1257</v>
      </c>
      <c r="G79" s="158" t="s">
        <v>1258</v>
      </c>
      <c r="H79" s="162" t="s">
        <v>1313</v>
      </c>
      <c r="I79" s="166" t="s">
        <v>1314</v>
      </c>
      <c r="J79" s="158"/>
    </row>
    <row r="80" spans="1:11" ht="78" customHeight="1">
      <c r="A80" s="157">
        <v>79</v>
      </c>
      <c r="B80" s="240">
        <v>45770</v>
      </c>
      <c r="C80" s="240">
        <v>45770</v>
      </c>
      <c r="D80" s="160" t="s">
        <v>1255</v>
      </c>
      <c r="E80" s="166" t="s">
        <v>1256</v>
      </c>
      <c r="F80" s="162" t="s">
        <v>1257</v>
      </c>
      <c r="G80" s="158" t="s">
        <v>1258</v>
      </c>
      <c r="H80" s="163" t="s">
        <v>1315</v>
      </c>
      <c r="I80" s="166" t="s">
        <v>1293</v>
      </c>
      <c r="J80" s="181"/>
      <c r="K80" s="181"/>
    </row>
    <row r="81" spans="1:11" ht="78" customHeight="1">
      <c r="A81" s="157">
        <v>80</v>
      </c>
      <c r="B81" s="240">
        <v>45770</v>
      </c>
      <c r="C81" s="240">
        <v>45770</v>
      </c>
      <c r="D81" s="160" t="s">
        <v>1255</v>
      </c>
      <c r="E81" s="166" t="s">
        <v>1256</v>
      </c>
      <c r="F81" s="162" t="s">
        <v>1257</v>
      </c>
      <c r="G81" s="158" t="s">
        <v>1258</v>
      </c>
      <c r="H81" s="162"/>
      <c r="I81" s="159" t="s">
        <v>1120</v>
      </c>
      <c r="J81" s="158"/>
      <c r="K81" s="158"/>
    </row>
    <row r="82" spans="1:11" ht="78" customHeight="1">
      <c r="A82" s="157">
        <v>81</v>
      </c>
      <c r="B82" s="240">
        <v>45770</v>
      </c>
      <c r="C82" s="240">
        <v>45770</v>
      </c>
      <c r="D82" s="160" t="s">
        <v>1255</v>
      </c>
      <c r="E82" s="166" t="s">
        <v>1256</v>
      </c>
      <c r="F82" s="162" t="s">
        <v>1257</v>
      </c>
      <c r="G82" s="158" t="s">
        <v>1258</v>
      </c>
      <c r="H82" s="162" t="s">
        <v>1313</v>
      </c>
      <c r="I82" s="158" t="s">
        <v>1268</v>
      </c>
      <c r="J82" s="158"/>
    </row>
    <row r="83" spans="1:11" ht="78" customHeight="1">
      <c r="A83" s="157">
        <v>82</v>
      </c>
      <c r="B83" s="240">
        <v>45770</v>
      </c>
      <c r="C83" s="240">
        <v>45770</v>
      </c>
      <c r="D83" s="160" t="s">
        <v>1255</v>
      </c>
      <c r="E83" s="166" t="s">
        <v>1256</v>
      </c>
      <c r="F83" s="162" t="s">
        <v>1257</v>
      </c>
      <c r="G83" s="158" t="s">
        <v>1258</v>
      </c>
      <c r="H83" s="237" t="s">
        <v>1316</v>
      </c>
      <c r="I83" s="171" t="s">
        <v>1066</v>
      </c>
    </row>
    <row r="84" spans="1:11" ht="78" customHeight="1">
      <c r="A84" s="157">
        <v>83</v>
      </c>
      <c r="B84" s="240">
        <v>45770</v>
      </c>
      <c r="C84" s="240">
        <v>45770</v>
      </c>
      <c r="D84" s="160" t="s">
        <v>1255</v>
      </c>
      <c r="E84" s="166" t="s">
        <v>1256</v>
      </c>
      <c r="F84" s="162" t="s">
        <v>1257</v>
      </c>
      <c r="G84" s="158" t="s">
        <v>1258</v>
      </c>
      <c r="H84" s="162" t="s">
        <v>1313</v>
      </c>
      <c r="I84" s="161" t="s">
        <v>1026</v>
      </c>
    </row>
    <row r="85" spans="1:11" ht="78" customHeight="1">
      <c r="A85" s="157">
        <v>84</v>
      </c>
      <c r="B85" s="152">
        <v>45789</v>
      </c>
      <c r="C85" s="152">
        <v>45789</v>
      </c>
      <c r="D85" s="160" t="s">
        <v>1255</v>
      </c>
      <c r="E85" s="166" t="s">
        <v>1256</v>
      </c>
      <c r="F85" s="162" t="s">
        <v>1257</v>
      </c>
      <c r="G85" s="158" t="s">
        <v>1258</v>
      </c>
      <c r="H85" s="247"/>
      <c r="I85" s="225" t="s">
        <v>1061</v>
      </c>
    </row>
    <row r="86" spans="1:11" ht="78" customHeight="1">
      <c r="A86" s="157">
        <v>85</v>
      </c>
      <c r="B86" s="152">
        <v>45789</v>
      </c>
      <c r="C86" s="152">
        <v>45789</v>
      </c>
      <c r="D86" s="160" t="s">
        <v>1255</v>
      </c>
      <c r="E86" s="166" t="s">
        <v>1256</v>
      </c>
      <c r="F86" s="162" t="s">
        <v>1257</v>
      </c>
      <c r="G86" s="158" t="s">
        <v>1258</v>
      </c>
      <c r="H86" s="247"/>
      <c r="I86" s="149" t="s">
        <v>1075</v>
      </c>
    </row>
    <row r="87" spans="1:11" ht="78" customHeight="1">
      <c r="A87" s="157">
        <v>86</v>
      </c>
      <c r="B87" s="241">
        <v>45797</v>
      </c>
      <c r="C87" s="241">
        <v>45797</v>
      </c>
      <c r="D87" s="160" t="s">
        <v>1255</v>
      </c>
      <c r="E87" s="166" t="s">
        <v>1256</v>
      </c>
      <c r="F87" s="162" t="s">
        <v>1257</v>
      </c>
      <c r="G87" s="158" t="s">
        <v>1258</v>
      </c>
      <c r="H87" s="243" t="s">
        <v>2170</v>
      </c>
      <c r="I87" s="149" t="s">
        <v>1314</v>
      </c>
    </row>
    <row r="88" spans="1:11" ht="78" customHeight="1">
      <c r="A88" s="157">
        <v>87</v>
      </c>
      <c r="B88" s="241">
        <v>45797</v>
      </c>
      <c r="C88" s="241">
        <v>45797</v>
      </c>
      <c r="D88" s="160" t="s">
        <v>1255</v>
      </c>
      <c r="E88" s="166" t="s">
        <v>1256</v>
      </c>
      <c r="F88" s="162" t="s">
        <v>1257</v>
      </c>
      <c r="G88" s="158" t="s">
        <v>1258</v>
      </c>
      <c r="H88" s="243" t="s">
        <v>2171</v>
      </c>
      <c r="I88" s="155" t="s">
        <v>1095</v>
      </c>
    </row>
    <row r="89" spans="1:11" ht="78" customHeight="1">
      <c r="A89" s="157">
        <v>88</v>
      </c>
      <c r="B89" s="241">
        <v>45798</v>
      </c>
      <c r="C89" s="241">
        <v>45798</v>
      </c>
      <c r="D89" s="160" t="s">
        <v>1255</v>
      </c>
      <c r="E89" s="166" t="s">
        <v>1256</v>
      </c>
      <c r="F89" s="162" t="s">
        <v>1257</v>
      </c>
      <c r="G89" s="158" t="s">
        <v>1258</v>
      </c>
      <c r="H89" s="154"/>
      <c r="I89" s="167" t="s">
        <v>1070</v>
      </c>
    </row>
    <row r="90" spans="1:11" ht="78" customHeight="1">
      <c r="A90" s="157">
        <v>89</v>
      </c>
      <c r="B90" s="241">
        <v>45798</v>
      </c>
      <c r="C90" s="241">
        <v>45798</v>
      </c>
      <c r="D90" s="160" t="s">
        <v>1255</v>
      </c>
      <c r="E90" s="166" t="s">
        <v>1256</v>
      </c>
      <c r="F90" s="162" t="s">
        <v>1257</v>
      </c>
      <c r="G90" s="158" t="s">
        <v>1258</v>
      </c>
      <c r="H90" s="248"/>
      <c r="I90" s="167" t="s">
        <v>1261</v>
      </c>
    </row>
    <row r="91" spans="1:11" ht="78" customHeight="1">
      <c r="A91" s="157">
        <v>90</v>
      </c>
      <c r="B91" s="241">
        <v>45798</v>
      </c>
      <c r="C91" s="241">
        <v>45798</v>
      </c>
      <c r="D91" s="160" t="s">
        <v>1255</v>
      </c>
      <c r="E91" s="166" t="s">
        <v>1256</v>
      </c>
      <c r="F91" s="162" t="s">
        <v>1257</v>
      </c>
      <c r="G91" s="158" t="s">
        <v>1258</v>
      </c>
      <c r="H91" s="163"/>
      <c r="I91" s="167" t="s">
        <v>1263</v>
      </c>
    </row>
    <row r="92" spans="1:11" ht="78" customHeight="1">
      <c r="A92" s="157">
        <v>91</v>
      </c>
      <c r="B92" s="241">
        <v>45798</v>
      </c>
      <c r="C92" s="241">
        <v>45798</v>
      </c>
      <c r="D92" s="160" t="s">
        <v>1255</v>
      </c>
      <c r="E92" s="166" t="s">
        <v>1256</v>
      </c>
      <c r="F92" s="162" t="s">
        <v>1257</v>
      </c>
      <c r="G92" s="158" t="s">
        <v>1258</v>
      </c>
      <c r="H92" s="163"/>
      <c r="I92" s="166" t="s">
        <v>1262</v>
      </c>
    </row>
    <row r="93" spans="1:11" ht="78" customHeight="1">
      <c r="A93" s="157">
        <v>92</v>
      </c>
      <c r="B93" s="241">
        <v>45798</v>
      </c>
      <c r="C93" s="241">
        <v>45798</v>
      </c>
      <c r="D93" s="160" t="s">
        <v>1255</v>
      </c>
      <c r="E93" s="166" t="s">
        <v>1256</v>
      </c>
      <c r="F93" s="162" t="s">
        <v>1257</v>
      </c>
      <c r="G93" s="158" t="s">
        <v>1258</v>
      </c>
      <c r="H93" s="163"/>
      <c r="I93" s="158" t="s">
        <v>1293</v>
      </c>
      <c r="J93" s="166"/>
    </row>
    <row r="94" spans="1:11" ht="78" customHeight="1">
      <c r="A94" s="157">
        <v>93</v>
      </c>
      <c r="B94" s="241">
        <v>45798</v>
      </c>
      <c r="C94" s="241">
        <v>45798</v>
      </c>
      <c r="D94" s="160" t="s">
        <v>1255</v>
      </c>
      <c r="E94" s="166" t="s">
        <v>1256</v>
      </c>
      <c r="F94" s="162" t="s">
        <v>1257</v>
      </c>
      <c r="G94" s="158" t="s">
        <v>1258</v>
      </c>
      <c r="H94" s="236"/>
      <c r="I94" s="149" t="s">
        <v>1120</v>
      </c>
    </row>
    <row r="95" spans="1:11" ht="78" customHeight="1">
      <c r="A95" s="157">
        <v>94</v>
      </c>
      <c r="B95" s="241">
        <v>45798</v>
      </c>
      <c r="C95" s="241">
        <v>45798</v>
      </c>
      <c r="D95" s="160" t="s">
        <v>1255</v>
      </c>
      <c r="E95" s="166" t="s">
        <v>1256</v>
      </c>
      <c r="F95" s="162" t="s">
        <v>1257</v>
      </c>
      <c r="G95" s="158" t="s">
        <v>1258</v>
      </c>
      <c r="H95" s="218" t="s">
        <v>2203</v>
      </c>
      <c r="I95" s="158" t="s">
        <v>1115</v>
      </c>
    </row>
    <row r="96" spans="1:11" ht="78" customHeight="1">
      <c r="A96" s="157">
        <v>95</v>
      </c>
      <c r="B96" s="241">
        <v>45798</v>
      </c>
      <c r="C96" s="241">
        <v>45798</v>
      </c>
      <c r="D96" s="160" t="s">
        <v>1255</v>
      </c>
      <c r="E96" s="166" t="s">
        <v>1256</v>
      </c>
      <c r="F96" s="162" t="s">
        <v>1257</v>
      </c>
      <c r="G96" s="158" t="s">
        <v>1258</v>
      </c>
      <c r="H96" s="218" t="s">
        <v>2203</v>
      </c>
      <c r="I96" s="158" t="s">
        <v>1056</v>
      </c>
    </row>
    <row r="97" spans="1:10" ht="78" customHeight="1">
      <c r="A97" s="157">
        <v>96</v>
      </c>
      <c r="B97" s="241">
        <v>45798</v>
      </c>
      <c r="C97" s="241">
        <v>45798</v>
      </c>
      <c r="D97" s="160" t="s">
        <v>1255</v>
      </c>
      <c r="E97" s="166" t="s">
        <v>1256</v>
      </c>
      <c r="F97" s="162" t="s">
        <v>1257</v>
      </c>
      <c r="G97" s="158" t="s">
        <v>1258</v>
      </c>
      <c r="H97" s="218" t="s">
        <v>2203</v>
      </c>
      <c r="I97" s="161" t="s">
        <v>1090</v>
      </c>
    </row>
    <row r="98" spans="1:10" ht="78" customHeight="1">
      <c r="A98" s="157">
        <v>97</v>
      </c>
      <c r="B98" s="241">
        <v>45798</v>
      </c>
      <c r="C98" s="241">
        <v>45798</v>
      </c>
      <c r="D98" s="160" t="s">
        <v>1255</v>
      </c>
      <c r="E98" s="166" t="s">
        <v>1256</v>
      </c>
      <c r="F98" s="162" t="s">
        <v>1257</v>
      </c>
      <c r="G98" s="158" t="s">
        <v>1258</v>
      </c>
      <c r="H98" s="218" t="s">
        <v>2203</v>
      </c>
      <c r="I98" s="158" t="s">
        <v>1277</v>
      </c>
    </row>
    <row r="99" spans="1:10" ht="78" customHeight="1">
      <c r="A99" s="157">
        <v>98</v>
      </c>
      <c r="B99" s="228">
        <v>45804</v>
      </c>
      <c r="C99" s="228">
        <v>45804</v>
      </c>
      <c r="D99" s="160" t="s">
        <v>1255</v>
      </c>
      <c r="E99" s="166" t="s">
        <v>1256</v>
      </c>
      <c r="F99" s="162" t="s">
        <v>1257</v>
      </c>
      <c r="G99" s="158" t="s">
        <v>1258</v>
      </c>
      <c r="H99" s="163"/>
      <c r="I99" s="167" t="s">
        <v>1268</v>
      </c>
    </row>
    <row r="100" spans="1:10" ht="78" customHeight="1">
      <c r="A100" s="157">
        <v>99</v>
      </c>
      <c r="B100" s="254">
        <v>45805</v>
      </c>
      <c r="C100" s="254">
        <v>45805</v>
      </c>
      <c r="D100" s="160" t="s">
        <v>1255</v>
      </c>
      <c r="E100" s="166" t="s">
        <v>1256</v>
      </c>
      <c r="F100" s="162" t="s">
        <v>1257</v>
      </c>
      <c r="G100" s="158" t="s">
        <v>1258</v>
      </c>
      <c r="H100" s="163"/>
      <c r="I100" s="159" t="s">
        <v>1022</v>
      </c>
    </row>
    <row r="101" spans="1:10" ht="78" customHeight="1">
      <c r="A101" s="157">
        <v>100</v>
      </c>
      <c r="B101" s="254">
        <v>45805</v>
      </c>
      <c r="C101" s="254">
        <v>45805</v>
      </c>
      <c r="D101" s="160" t="s">
        <v>1255</v>
      </c>
      <c r="E101" s="166" t="s">
        <v>1256</v>
      </c>
      <c r="F101" s="162" t="s">
        <v>1257</v>
      </c>
      <c r="G101" s="158" t="s">
        <v>1258</v>
      </c>
      <c r="H101" s="163" t="s">
        <v>2245</v>
      </c>
      <c r="I101" s="169" t="s">
        <v>1031</v>
      </c>
      <c r="J101" s="181"/>
    </row>
    <row r="102" spans="1:10" ht="78" customHeight="1">
      <c r="A102" s="157">
        <v>101</v>
      </c>
      <c r="B102" s="254">
        <v>45805</v>
      </c>
      <c r="C102" s="254">
        <v>45805</v>
      </c>
      <c r="D102" s="160" t="s">
        <v>1255</v>
      </c>
      <c r="E102" s="166" t="s">
        <v>1256</v>
      </c>
      <c r="F102" s="162" t="s">
        <v>1257</v>
      </c>
      <c r="G102" s="158" t="s">
        <v>1258</v>
      </c>
      <c r="H102" s="300"/>
      <c r="I102" s="168" t="s">
        <v>1080</v>
      </c>
      <c r="J102" s="171"/>
    </row>
    <row r="103" spans="1:10" ht="78" customHeight="1">
      <c r="A103" s="157">
        <v>102</v>
      </c>
      <c r="B103" s="254">
        <v>45805</v>
      </c>
      <c r="C103" s="254">
        <v>45805</v>
      </c>
      <c r="D103" s="160" t="s">
        <v>1255</v>
      </c>
      <c r="E103" s="166" t="s">
        <v>1256</v>
      </c>
      <c r="F103" s="162" t="s">
        <v>1257</v>
      </c>
      <c r="G103" s="158" t="s">
        <v>1258</v>
      </c>
      <c r="H103" s="154" t="s">
        <v>2246</v>
      </c>
      <c r="I103" s="168" t="s">
        <v>1066</v>
      </c>
      <c r="J103" s="171"/>
    </row>
    <row r="104" spans="1:10" ht="78" customHeight="1">
      <c r="A104" s="157">
        <v>103</v>
      </c>
      <c r="B104" s="254">
        <v>45806</v>
      </c>
      <c r="C104" s="254">
        <v>45806</v>
      </c>
      <c r="D104" s="160" t="s">
        <v>1255</v>
      </c>
      <c r="E104" s="166" t="s">
        <v>1256</v>
      </c>
      <c r="F104" s="162" t="s">
        <v>1257</v>
      </c>
      <c r="G104" s="158" t="s">
        <v>1258</v>
      </c>
      <c r="H104" s="236"/>
      <c r="I104" s="168" t="s">
        <v>1274</v>
      </c>
      <c r="J104" s="171"/>
    </row>
    <row r="105" spans="1:10" ht="78" customHeight="1">
      <c r="A105" s="157">
        <v>104</v>
      </c>
      <c r="B105" s="254">
        <v>45806</v>
      </c>
      <c r="C105" s="254">
        <v>45806</v>
      </c>
      <c r="D105" s="160" t="s">
        <v>1255</v>
      </c>
      <c r="E105" s="166" t="s">
        <v>1256</v>
      </c>
      <c r="F105" s="162" t="s">
        <v>1257</v>
      </c>
      <c r="G105" s="158" t="s">
        <v>1258</v>
      </c>
      <c r="H105" s="236" t="s">
        <v>2273</v>
      </c>
      <c r="I105" s="168" t="s">
        <v>1026</v>
      </c>
      <c r="J105" s="171"/>
    </row>
    <row r="106" spans="1:10" ht="78" customHeight="1">
      <c r="A106" s="157">
        <v>105</v>
      </c>
      <c r="B106" s="254">
        <v>45813</v>
      </c>
      <c r="C106" s="254">
        <v>45813</v>
      </c>
      <c r="D106" s="160" t="s">
        <v>1255</v>
      </c>
      <c r="E106" s="166" t="s">
        <v>1256</v>
      </c>
      <c r="F106" s="162" t="s">
        <v>1257</v>
      </c>
      <c r="G106" s="158" t="s">
        <v>1258</v>
      </c>
      <c r="H106" s="236"/>
      <c r="I106" s="170" t="s">
        <v>1293</v>
      </c>
      <c r="J106" s="158"/>
    </row>
    <row r="107" spans="1:10" ht="78" customHeight="1">
      <c r="A107" s="157">
        <v>106</v>
      </c>
      <c r="B107" s="254">
        <v>45813</v>
      </c>
      <c r="C107" s="254">
        <v>45813</v>
      </c>
      <c r="D107" s="160" t="s">
        <v>1255</v>
      </c>
      <c r="E107" s="166" t="s">
        <v>1256</v>
      </c>
      <c r="F107" s="162" t="s">
        <v>1257</v>
      </c>
      <c r="G107" s="158" t="s">
        <v>1258</v>
      </c>
      <c r="H107" s="231" t="s">
        <v>2343</v>
      </c>
      <c r="I107" s="171" t="s">
        <v>1120</v>
      </c>
    </row>
    <row r="108" spans="1:10" ht="78" customHeight="1">
      <c r="A108" s="157">
        <v>107</v>
      </c>
      <c r="B108" s="254">
        <v>45813</v>
      </c>
      <c r="C108" s="254">
        <v>45813</v>
      </c>
      <c r="D108" s="160" t="s">
        <v>1255</v>
      </c>
      <c r="E108" s="166" t="s">
        <v>1256</v>
      </c>
      <c r="F108" s="162" t="s">
        <v>1257</v>
      </c>
      <c r="G108" s="158" t="s">
        <v>1258</v>
      </c>
      <c r="H108" s="236"/>
      <c r="I108" s="161" t="s">
        <v>1263</v>
      </c>
      <c r="J108" s="161"/>
    </row>
    <row r="109" spans="1:10" ht="78" customHeight="1">
      <c r="A109" s="157">
        <v>108</v>
      </c>
      <c r="B109" s="254">
        <v>45813</v>
      </c>
      <c r="C109" s="254">
        <v>45813</v>
      </c>
      <c r="D109" s="160" t="s">
        <v>1255</v>
      </c>
      <c r="E109" s="166" t="s">
        <v>1256</v>
      </c>
      <c r="F109" s="162" t="s">
        <v>1257</v>
      </c>
      <c r="G109" s="158" t="s">
        <v>1258</v>
      </c>
      <c r="H109" s="236" t="s">
        <v>2344</v>
      </c>
      <c r="I109" s="158" t="s">
        <v>1262</v>
      </c>
    </row>
    <row r="110" spans="1:10" ht="78" customHeight="1">
      <c r="A110" s="157">
        <v>109</v>
      </c>
      <c r="B110" s="254">
        <v>45813</v>
      </c>
      <c r="C110" s="254">
        <v>45813</v>
      </c>
      <c r="D110" s="160" t="s">
        <v>1255</v>
      </c>
      <c r="E110" s="166" t="s">
        <v>1256</v>
      </c>
      <c r="F110" s="162" t="s">
        <v>1257</v>
      </c>
      <c r="G110" s="158" t="s">
        <v>1258</v>
      </c>
      <c r="H110" s="236"/>
      <c r="I110" s="149" t="s">
        <v>1261</v>
      </c>
    </row>
    <row r="111" spans="1:10" ht="78" customHeight="1">
      <c r="A111" s="157">
        <v>110</v>
      </c>
      <c r="B111" s="254">
        <v>45817</v>
      </c>
      <c r="C111" s="254">
        <v>45817</v>
      </c>
      <c r="D111" s="158" t="s">
        <v>1255</v>
      </c>
      <c r="E111" s="166" t="s">
        <v>1256</v>
      </c>
      <c r="F111" s="180" t="s">
        <v>2457</v>
      </c>
      <c r="G111" s="158" t="s">
        <v>1258</v>
      </c>
      <c r="H111" s="154" t="s">
        <v>2203</v>
      </c>
      <c r="I111" s="149" t="s">
        <v>28</v>
      </c>
    </row>
    <row r="112" spans="1:10" ht="78" customHeight="1">
      <c r="A112" s="157">
        <v>111</v>
      </c>
      <c r="B112" s="254">
        <v>45820</v>
      </c>
      <c r="C112" s="254">
        <v>45820</v>
      </c>
      <c r="D112" s="158" t="s">
        <v>1255</v>
      </c>
      <c r="E112" s="166" t="s">
        <v>1256</v>
      </c>
      <c r="F112" s="180" t="s">
        <v>2457</v>
      </c>
      <c r="G112" s="158" t="s">
        <v>1258</v>
      </c>
      <c r="H112" s="156" t="s">
        <v>2203</v>
      </c>
      <c r="I112" s="149" t="s">
        <v>1277</v>
      </c>
    </row>
    <row r="113" spans="1:10" ht="78" customHeight="1">
      <c r="A113" s="157">
        <v>112</v>
      </c>
      <c r="B113" s="254">
        <v>45821</v>
      </c>
      <c r="C113" s="254">
        <v>45821</v>
      </c>
      <c r="D113" s="160" t="s">
        <v>1255</v>
      </c>
      <c r="E113" s="166" t="s">
        <v>1256</v>
      </c>
      <c r="F113" s="162" t="s">
        <v>1257</v>
      </c>
      <c r="G113" s="158" t="s">
        <v>1258</v>
      </c>
      <c r="H113" s="154" t="s">
        <v>2455</v>
      </c>
      <c r="I113" s="149" t="s">
        <v>1314</v>
      </c>
    </row>
    <row r="114" spans="1:10" ht="78" customHeight="1">
      <c r="A114" s="157">
        <v>113</v>
      </c>
      <c r="B114" s="254">
        <v>45821</v>
      </c>
      <c r="C114" s="254">
        <v>45821</v>
      </c>
      <c r="D114" s="160" t="s">
        <v>1255</v>
      </c>
      <c r="E114" s="166" t="s">
        <v>1256</v>
      </c>
      <c r="F114" s="162" t="s">
        <v>1257</v>
      </c>
      <c r="G114" s="158" t="s">
        <v>1258</v>
      </c>
      <c r="H114" s="154" t="s">
        <v>2456</v>
      </c>
      <c r="I114" s="149" t="s">
        <v>1095</v>
      </c>
    </row>
    <row r="115" spans="1:10" ht="78" customHeight="1">
      <c r="A115" s="157">
        <v>114</v>
      </c>
      <c r="B115" s="254"/>
      <c r="C115" s="251"/>
      <c r="D115" s="149"/>
      <c r="F115" s="257"/>
      <c r="G115" s="197"/>
      <c r="H115" s="179"/>
      <c r="J115" s="155"/>
    </row>
    <row r="116" spans="1:10" ht="78" customHeight="1">
      <c r="A116" s="157">
        <v>115</v>
      </c>
      <c r="B116" s="152"/>
      <c r="C116" s="240"/>
      <c r="D116" s="149"/>
      <c r="E116" s="169"/>
      <c r="F116" s="262"/>
      <c r="G116" s="197"/>
      <c r="H116" s="237"/>
      <c r="J116" s="159"/>
    </row>
    <row r="117" spans="1:10" ht="78" customHeight="1">
      <c r="A117" s="157">
        <v>116</v>
      </c>
      <c r="B117" s="152"/>
      <c r="C117" s="241"/>
      <c r="D117" s="276"/>
      <c r="E117" s="170"/>
      <c r="F117" s="255"/>
      <c r="G117" s="194"/>
      <c r="H117" s="165"/>
      <c r="I117" s="161"/>
      <c r="J117" s="181"/>
    </row>
    <row r="118" spans="1:10" ht="78" customHeight="1">
      <c r="A118" s="157">
        <v>117</v>
      </c>
      <c r="B118" s="152"/>
      <c r="C118" s="152"/>
      <c r="D118" s="210"/>
      <c r="F118" s="163"/>
      <c r="G118" s="196"/>
      <c r="H118" s="175"/>
      <c r="I118" s="166"/>
      <c r="J118" s="171"/>
    </row>
    <row r="119" spans="1:10" ht="78" customHeight="1">
      <c r="A119" s="157">
        <v>118</v>
      </c>
      <c r="B119" s="152"/>
      <c r="C119" s="152"/>
      <c r="D119" s="256"/>
      <c r="E119" s="164"/>
      <c r="F119" s="163"/>
      <c r="G119" s="298"/>
      <c r="H119" s="258"/>
      <c r="I119" s="182"/>
      <c r="J119" s="158"/>
    </row>
    <row r="120" spans="1:10" ht="78" customHeight="1">
      <c r="A120" s="157">
        <v>119</v>
      </c>
      <c r="B120" s="152"/>
      <c r="C120" s="152"/>
      <c r="D120" s="210"/>
      <c r="E120" s="171"/>
      <c r="F120" s="260"/>
      <c r="G120" s="298"/>
      <c r="H120" s="154"/>
    </row>
    <row r="121" spans="1:10" ht="78" customHeight="1">
      <c r="A121" s="157">
        <v>120</v>
      </c>
      <c r="B121" s="152"/>
      <c r="C121" s="152"/>
      <c r="D121" s="210"/>
      <c r="E121" s="161"/>
      <c r="F121" s="257"/>
      <c r="G121" s="298"/>
      <c r="H121" s="154"/>
    </row>
    <row r="122" spans="1:10" ht="78" customHeight="1">
      <c r="A122" s="157">
        <v>121</v>
      </c>
      <c r="B122" s="228"/>
      <c r="C122" s="228"/>
      <c r="D122" s="158"/>
      <c r="E122" s="158"/>
      <c r="F122" s="257"/>
      <c r="G122" s="298"/>
      <c r="H122" s="154"/>
    </row>
    <row r="123" spans="1:10" ht="78" customHeight="1">
      <c r="A123" s="157">
        <v>122</v>
      </c>
      <c r="B123" s="227"/>
      <c r="C123" s="152"/>
      <c r="D123" s="158"/>
      <c r="E123" s="161"/>
      <c r="F123" s="163"/>
      <c r="G123" s="298"/>
    </row>
    <row r="124" spans="1:10" ht="78" customHeight="1">
      <c r="A124" s="157">
        <v>123</v>
      </c>
      <c r="B124" s="228"/>
      <c r="C124" s="254"/>
      <c r="D124" s="210"/>
      <c r="E124" s="161"/>
      <c r="F124" s="180"/>
      <c r="G124" s="265"/>
    </row>
    <row r="125" spans="1:10" ht="78" customHeight="1">
      <c r="A125" s="157">
        <v>124</v>
      </c>
      <c r="B125" s="228"/>
      <c r="C125" s="227"/>
      <c r="D125" s="256"/>
      <c r="E125" s="181"/>
      <c r="F125" s="218"/>
      <c r="G125" s="298"/>
      <c r="H125" s="154"/>
    </row>
    <row r="126" spans="1:10" ht="78" customHeight="1">
      <c r="A126" s="157">
        <v>125</v>
      </c>
      <c r="B126" s="227"/>
      <c r="C126" s="227"/>
      <c r="D126" s="149"/>
      <c r="E126" s="166"/>
      <c r="F126" s="163"/>
      <c r="G126" s="298"/>
    </row>
    <row r="127" spans="1:10" ht="78" customHeight="1">
      <c r="A127" s="157">
        <v>126</v>
      </c>
      <c r="B127" s="227"/>
      <c r="C127" s="254"/>
      <c r="D127" s="158"/>
      <c r="E127" s="166"/>
      <c r="F127" s="218"/>
      <c r="G127" s="298"/>
    </row>
    <row r="128" spans="1:10" ht="78" customHeight="1">
      <c r="A128" s="157">
        <v>127</v>
      </c>
      <c r="B128" s="227"/>
      <c r="C128" s="227"/>
      <c r="D128" s="210"/>
      <c r="E128" s="166"/>
      <c r="F128" s="237"/>
      <c r="G128" s="298"/>
      <c r="H128" s="154"/>
    </row>
    <row r="129" spans="1:8" ht="78" customHeight="1">
      <c r="A129" s="157">
        <v>128</v>
      </c>
      <c r="B129" s="227"/>
      <c r="C129" s="227"/>
      <c r="D129" s="261"/>
      <c r="E129" s="159"/>
      <c r="F129" s="218"/>
      <c r="G129" s="298"/>
    </row>
    <row r="130" spans="1:8" ht="78" customHeight="1">
      <c r="A130" s="157">
        <v>129</v>
      </c>
      <c r="B130" s="227"/>
      <c r="C130" s="227"/>
      <c r="D130" s="210"/>
      <c r="E130" s="161"/>
      <c r="F130" s="180"/>
      <c r="G130" s="298"/>
      <c r="H130" s="236"/>
    </row>
    <row r="131" spans="1:8" ht="78" customHeight="1">
      <c r="A131" s="157">
        <v>130</v>
      </c>
      <c r="B131" s="227"/>
      <c r="C131" s="227"/>
      <c r="D131" s="210"/>
      <c r="E131" s="166"/>
      <c r="F131" s="218"/>
      <c r="G131" s="298"/>
      <c r="H131" s="154"/>
    </row>
    <row r="132" spans="1:8" ht="78" customHeight="1">
      <c r="A132" s="157">
        <v>131</v>
      </c>
      <c r="B132" s="152"/>
      <c r="C132" s="152"/>
      <c r="D132" s="212"/>
      <c r="E132" s="159"/>
      <c r="F132" s="180"/>
      <c r="G132" s="298"/>
      <c r="H132" s="154"/>
    </row>
    <row r="133" spans="1:8" ht="78" customHeight="1">
      <c r="A133" s="157">
        <v>132</v>
      </c>
      <c r="B133" s="152"/>
      <c r="C133" s="228"/>
      <c r="D133" s="210"/>
      <c r="E133" s="166"/>
      <c r="F133" s="163"/>
      <c r="G133" s="298"/>
      <c r="H133" s="220"/>
    </row>
    <row r="134" spans="1:8" ht="78" customHeight="1">
      <c r="A134" s="157">
        <v>133</v>
      </c>
      <c r="B134" s="152"/>
      <c r="C134" s="254"/>
      <c r="D134" s="210"/>
      <c r="E134" s="166"/>
      <c r="F134" s="260"/>
      <c r="G134" s="298"/>
      <c r="H134" s="162"/>
    </row>
    <row r="135" spans="1:8" ht="78" customHeight="1">
      <c r="A135" s="157">
        <v>134</v>
      </c>
      <c r="B135" s="152"/>
      <c r="C135" s="227"/>
      <c r="D135" s="210"/>
      <c r="E135" s="171"/>
      <c r="F135" s="218"/>
      <c r="G135" s="298"/>
      <c r="H135" s="154"/>
    </row>
    <row r="136" spans="1:8" ht="78" customHeight="1">
      <c r="A136" s="157">
        <v>135</v>
      </c>
      <c r="B136" s="227"/>
      <c r="C136" s="227"/>
      <c r="D136" s="210"/>
      <c r="E136" s="161"/>
      <c r="F136" s="163"/>
      <c r="G136" s="298"/>
      <c r="H136" s="163"/>
    </row>
    <row r="137" spans="1:8" ht="78" customHeight="1">
      <c r="A137" s="157">
        <v>136</v>
      </c>
      <c r="B137" s="227"/>
      <c r="C137" s="227"/>
      <c r="D137" s="261"/>
      <c r="F137" s="180"/>
      <c r="G137" s="298"/>
      <c r="H137" s="243"/>
    </row>
    <row r="138" spans="1:8" ht="78" customHeight="1">
      <c r="A138" s="157">
        <v>137</v>
      </c>
      <c r="B138" s="227"/>
      <c r="C138" s="227"/>
      <c r="D138" s="160"/>
      <c r="E138" s="166"/>
      <c r="F138" s="175"/>
      <c r="G138" s="194"/>
    </row>
    <row r="139" spans="1:8" ht="78" customHeight="1">
      <c r="A139" s="157">
        <v>138</v>
      </c>
      <c r="B139" s="227"/>
      <c r="C139" s="227"/>
      <c r="D139" s="160"/>
      <c r="E139" s="166"/>
      <c r="F139" s="165"/>
      <c r="G139" s="197"/>
    </row>
    <row r="140" spans="1:8" ht="78" customHeight="1">
      <c r="A140" s="157">
        <v>139</v>
      </c>
      <c r="B140" s="227"/>
      <c r="C140" s="227"/>
      <c r="D140" s="149"/>
      <c r="E140" s="181"/>
      <c r="F140" s="237"/>
      <c r="G140" s="197"/>
      <c r="H140" s="154"/>
    </row>
    <row r="141" spans="1:8" ht="78" customHeight="1">
      <c r="A141" s="157">
        <v>140</v>
      </c>
      <c r="B141" s="227"/>
      <c r="C141" s="254"/>
      <c r="D141" s="212"/>
      <c r="E141" s="166"/>
      <c r="F141" s="218"/>
      <c r="G141" s="197"/>
      <c r="H141" s="154"/>
    </row>
    <row r="142" spans="1:8" ht="78" customHeight="1">
      <c r="A142" s="157">
        <v>141</v>
      </c>
      <c r="B142" s="254"/>
      <c r="C142" s="254"/>
      <c r="D142" s="160"/>
      <c r="E142" s="166"/>
      <c r="F142" s="162"/>
      <c r="G142" s="197"/>
    </row>
    <row r="143" spans="1:8" ht="78" customHeight="1">
      <c r="A143" s="157">
        <v>142</v>
      </c>
      <c r="B143" s="254"/>
      <c r="C143" s="254"/>
      <c r="D143" s="160"/>
      <c r="E143" s="166"/>
      <c r="F143" s="162"/>
      <c r="G143" s="298"/>
    </row>
    <row r="144" spans="1:8" ht="78" customHeight="1">
      <c r="A144" s="157">
        <v>143</v>
      </c>
      <c r="B144" s="254"/>
      <c r="C144" s="254"/>
      <c r="D144" s="160"/>
      <c r="E144" s="166"/>
      <c r="F144" s="165"/>
      <c r="G144" s="298"/>
      <c r="H144" s="154"/>
    </row>
    <row r="145" spans="1:87" ht="78" customHeight="1">
      <c r="A145" s="157">
        <v>144</v>
      </c>
      <c r="B145" s="254"/>
      <c r="C145" s="254"/>
      <c r="D145" s="210"/>
      <c r="F145" s="218"/>
      <c r="G145" s="298"/>
      <c r="H145" s="154"/>
    </row>
    <row r="146" spans="1:87" ht="78" customHeight="1">
      <c r="A146" s="157">
        <v>145</v>
      </c>
      <c r="B146" s="254"/>
      <c r="C146" s="254"/>
      <c r="D146" s="210"/>
      <c r="E146" s="164"/>
      <c r="F146" s="163"/>
      <c r="G146" s="298"/>
      <c r="H146" s="259"/>
    </row>
    <row r="147" spans="1:87" ht="78" customHeight="1">
      <c r="A147" s="157">
        <v>146</v>
      </c>
      <c r="B147" s="254"/>
      <c r="C147" s="254"/>
      <c r="D147" s="210"/>
      <c r="F147" s="180"/>
      <c r="G147" s="298"/>
      <c r="H147" s="263"/>
    </row>
    <row r="148" spans="1:87" ht="78" customHeight="1">
      <c r="A148" s="157">
        <v>147</v>
      </c>
      <c r="B148" s="254"/>
      <c r="C148" s="228"/>
      <c r="D148" s="210"/>
      <c r="F148" s="244"/>
      <c r="G148" s="196"/>
    </row>
    <row r="149" spans="1:87" ht="78" customHeight="1">
      <c r="A149" s="157">
        <v>148</v>
      </c>
      <c r="B149" s="254"/>
      <c r="C149" s="254"/>
      <c r="D149" s="210"/>
      <c r="F149" s="244"/>
      <c r="G149" s="298"/>
      <c r="H149" s="154"/>
    </row>
    <row r="150" spans="1:87" ht="78" customHeight="1">
      <c r="A150" s="157">
        <v>149</v>
      </c>
      <c r="B150" s="254"/>
      <c r="C150" s="254"/>
      <c r="D150" s="261"/>
      <c r="F150" s="244"/>
      <c r="G150" s="298"/>
      <c r="H150" s="154"/>
    </row>
    <row r="151" spans="1:87" ht="78" customHeight="1">
      <c r="A151" s="157">
        <v>150</v>
      </c>
      <c r="B151" s="254"/>
      <c r="C151" s="254"/>
      <c r="D151" s="160"/>
      <c r="E151" s="166"/>
      <c r="F151" s="175"/>
      <c r="G151" s="197"/>
      <c r="H151" s="163"/>
    </row>
    <row r="152" spans="1:87" ht="78" customHeight="1">
      <c r="A152" s="157">
        <v>151</v>
      </c>
      <c r="B152" s="254"/>
      <c r="C152" s="254"/>
      <c r="D152" s="160"/>
      <c r="E152" s="166"/>
      <c r="F152" s="172"/>
      <c r="G152" s="194"/>
      <c r="H152" s="259"/>
      <c r="I152" s="155"/>
    </row>
    <row r="153" spans="1:87" ht="78" customHeight="1">
      <c r="A153" s="157">
        <v>152</v>
      </c>
      <c r="B153" s="254"/>
      <c r="C153" s="254"/>
      <c r="D153" s="160"/>
      <c r="E153" s="166"/>
      <c r="F153" s="175"/>
      <c r="G153" s="197"/>
      <c r="H153" s="165"/>
      <c r="I153" s="166"/>
      <c r="J153" s="161"/>
    </row>
    <row r="154" spans="1:87" ht="78" customHeight="1">
      <c r="A154" s="157">
        <v>153</v>
      </c>
      <c r="B154" s="254"/>
      <c r="C154" s="254"/>
      <c r="D154" s="256"/>
      <c r="E154" s="166"/>
      <c r="F154" s="300"/>
      <c r="G154" s="197"/>
      <c r="H154" s="243"/>
      <c r="I154" s="159"/>
      <c r="AP154" s="155"/>
    </row>
    <row r="155" spans="1:87" ht="78" customHeight="1">
      <c r="A155" s="157">
        <v>154</v>
      </c>
      <c r="B155" s="254"/>
      <c r="C155" s="227"/>
      <c r="D155" s="149"/>
      <c r="F155" s="154"/>
      <c r="G155" s="194"/>
      <c r="H155" s="154"/>
      <c r="AA155" s="169"/>
      <c r="AB155" s="181"/>
      <c r="AG155" s="169"/>
      <c r="AH155" s="176"/>
      <c r="AI155" s="155"/>
      <c r="AJ155" s="176"/>
      <c r="AK155" s="176"/>
      <c r="AL155" s="176"/>
      <c r="AM155" s="155"/>
      <c r="AN155" s="181"/>
      <c r="AO155" s="155"/>
      <c r="AP155" s="167"/>
      <c r="AW155" s="155"/>
    </row>
    <row r="156" spans="1:87" ht="78" customHeight="1">
      <c r="A156" s="157">
        <v>155</v>
      </c>
      <c r="B156" s="254"/>
      <c r="C156" s="254"/>
      <c r="D156" s="210"/>
      <c r="E156" s="155"/>
      <c r="F156" s="262"/>
      <c r="G156" s="197"/>
      <c r="H156" s="220"/>
      <c r="I156" s="155"/>
      <c r="J156" s="155"/>
      <c r="K156" s="155"/>
      <c r="L156" s="176"/>
      <c r="M156" s="155"/>
      <c r="N156" s="155"/>
      <c r="O156" s="181"/>
      <c r="Q156" s="155"/>
      <c r="R156" s="155"/>
      <c r="S156" s="181"/>
      <c r="T156" s="155"/>
      <c r="U156" s="155"/>
      <c r="V156" s="169"/>
      <c r="W156" s="181"/>
      <c r="X156" s="155"/>
      <c r="Y156" s="169"/>
      <c r="Z156" s="181"/>
      <c r="AA156" s="155"/>
      <c r="AB156" s="181"/>
      <c r="AC156" s="176"/>
      <c r="AD156" s="155"/>
      <c r="AE156" s="181"/>
      <c r="AF156" s="155"/>
      <c r="AG156" s="169"/>
      <c r="AH156" s="155"/>
      <c r="AI156" s="155"/>
      <c r="AJ156" s="155"/>
      <c r="AK156" s="181"/>
      <c r="AL156" s="169"/>
      <c r="AM156" s="155"/>
      <c r="AN156" s="155"/>
      <c r="AO156" s="155"/>
      <c r="AP156" s="155"/>
      <c r="AQ156" s="155"/>
      <c r="AR156" s="169"/>
      <c r="AS156" s="155"/>
      <c r="AT156" s="155"/>
      <c r="AU156" s="181"/>
      <c r="AV156" s="176"/>
      <c r="AW156" s="155"/>
      <c r="AX156" s="176"/>
      <c r="AY156" s="155"/>
      <c r="AZ156" s="155"/>
      <c r="BB156" s="155"/>
      <c r="BD156" s="169"/>
      <c r="BE156" s="155"/>
      <c r="BT156" s="155"/>
      <c r="CA156" s="171"/>
      <c r="CE156" s="171"/>
      <c r="CG156" s="155"/>
    </row>
    <row r="157" spans="1:87" s="198" customFormat="1" ht="78" customHeight="1">
      <c r="A157" s="157">
        <v>156</v>
      </c>
      <c r="B157" s="254"/>
      <c r="C157" s="254"/>
      <c r="D157" s="210"/>
      <c r="E157" s="166"/>
      <c r="F157" s="255"/>
      <c r="G157" s="197"/>
      <c r="H157" s="163"/>
      <c r="I157" s="166"/>
      <c r="J157" s="194"/>
      <c r="K157" s="196"/>
      <c r="L157" s="196"/>
      <c r="M157" s="194"/>
      <c r="N157" s="194"/>
      <c r="O157" s="196"/>
      <c r="P157" s="196"/>
      <c r="Q157" s="194"/>
      <c r="R157" s="194"/>
      <c r="S157" s="196"/>
      <c r="T157" s="194"/>
      <c r="U157" s="194"/>
      <c r="V157" s="194"/>
      <c r="W157" s="196"/>
      <c r="X157" s="194"/>
      <c r="Y157" s="194"/>
      <c r="Z157" s="196"/>
      <c r="AA157" s="194"/>
      <c r="AB157" s="196"/>
      <c r="AC157" s="264"/>
      <c r="AD157" s="194"/>
      <c r="AE157" s="196"/>
      <c r="AF157" s="194"/>
      <c r="AG157" s="194"/>
      <c r="AH157" s="194"/>
      <c r="AI157" s="194"/>
      <c r="AJ157" s="194"/>
      <c r="AK157" s="196"/>
      <c r="AL157" s="264"/>
      <c r="AM157" s="194"/>
      <c r="AN157" s="194"/>
      <c r="AO157" s="194"/>
      <c r="AP157" s="194"/>
      <c r="AQ157" s="194"/>
      <c r="AR157" s="194"/>
      <c r="AS157" s="194"/>
      <c r="AT157" s="194"/>
      <c r="AU157" s="194"/>
      <c r="AV157" s="196"/>
      <c r="AW157" s="194"/>
      <c r="AX157" s="195"/>
      <c r="AY157" s="194"/>
      <c r="AZ157" s="194"/>
      <c r="BA157" s="264"/>
      <c r="BB157" s="194"/>
      <c r="BC157" s="195"/>
      <c r="BD157" s="264"/>
      <c r="BE157" s="194"/>
      <c r="BF157" s="265"/>
      <c r="BG157" s="266"/>
      <c r="BH157" s="194"/>
      <c r="BI157" s="194"/>
      <c r="BJ157" s="194"/>
      <c r="BK157" s="194"/>
      <c r="BL157" s="196"/>
      <c r="BM157" s="194"/>
      <c r="BN157" s="194"/>
      <c r="BO157" s="196"/>
      <c r="BP157" s="196"/>
      <c r="BQ157" s="194"/>
      <c r="BR157" s="195"/>
      <c r="BS157" s="194"/>
      <c r="BT157" s="194"/>
      <c r="BU157" s="196"/>
      <c r="BV157" s="264"/>
      <c r="BW157" s="194"/>
      <c r="BX157" s="264"/>
      <c r="BY157" s="194"/>
      <c r="BZ157" s="194"/>
      <c r="CA157" s="194"/>
      <c r="CB157" s="196"/>
      <c r="CC157" s="196"/>
      <c r="CD157" s="194"/>
      <c r="CE157" s="196"/>
      <c r="CF157" s="194"/>
      <c r="CG157" s="195"/>
      <c r="CH157" s="194"/>
      <c r="CI157" s="194"/>
    </row>
    <row r="158" spans="1:87" ht="78" customHeight="1">
      <c r="A158" s="157">
        <v>157</v>
      </c>
      <c r="B158" s="254"/>
      <c r="C158" s="228"/>
      <c r="D158" s="210"/>
      <c r="E158" s="166"/>
      <c r="F158" s="255"/>
      <c r="G158" s="197"/>
      <c r="H158" s="165"/>
      <c r="I158" s="159"/>
      <c r="J158" s="159"/>
      <c r="K158" s="158"/>
      <c r="L158" s="158"/>
      <c r="M158" s="159"/>
      <c r="N158" s="159"/>
      <c r="O158" s="158"/>
      <c r="P158" s="158"/>
      <c r="Q158" s="159"/>
      <c r="R158" s="158"/>
      <c r="T158" s="168"/>
      <c r="U158" s="159"/>
      <c r="V158" s="159"/>
      <c r="W158" s="158"/>
      <c r="X158" s="159"/>
      <c r="Y158" s="159"/>
      <c r="Z158" s="158"/>
      <c r="AA158" s="159"/>
      <c r="AC158" s="170"/>
      <c r="AD158" s="159"/>
      <c r="AE158" s="158"/>
      <c r="AF158" s="159"/>
      <c r="AG158" s="159"/>
      <c r="AH158" s="159"/>
      <c r="AI158" s="159"/>
      <c r="AJ158" s="159"/>
      <c r="AK158" s="158"/>
      <c r="AL158" s="170"/>
      <c r="AM158" s="159"/>
      <c r="AO158" s="159"/>
      <c r="AP158" s="159"/>
      <c r="AQ158" s="159"/>
      <c r="AR158" s="168"/>
      <c r="AS158" s="159"/>
      <c r="AT158" s="159"/>
      <c r="AU158" s="159"/>
      <c r="AV158" s="158"/>
      <c r="AW158" s="159"/>
      <c r="AY158" s="159"/>
      <c r="AZ158" s="159"/>
      <c r="BA158" s="182"/>
      <c r="BB158" s="159"/>
      <c r="BC158" s="182"/>
      <c r="BD158" s="170"/>
      <c r="BE158" s="159"/>
      <c r="BF158" s="158"/>
      <c r="BG158" s="159"/>
      <c r="BH158" s="158"/>
      <c r="BI158" s="159"/>
      <c r="BJ158" s="159"/>
      <c r="BK158" s="159"/>
      <c r="BL158" s="158"/>
      <c r="BM158" s="159"/>
      <c r="BN158" s="159"/>
      <c r="BO158" s="161"/>
      <c r="BP158" s="182"/>
      <c r="BQ158" s="159"/>
      <c r="BS158" s="159"/>
      <c r="BT158" s="159"/>
      <c r="BU158" s="158"/>
      <c r="BV158" s="170"/>
      <c r="BW158" s="159"/>
      <c r="BX158" s="164"/>
      <c r="BY158" s="166"/>
      <c r="BZ158" s="159"/>
      <c r="CA158" s="170"/>
      <c r="CB158" s="158"/>
      <c r="CD158" s="159"/>
      <c r="CE158" s="171"/>
      <c r="CF158" s="159"/>
      <c r="CH158" s="166"/>
    </row>
    <row r="159" spans="1:87" ht="78" customHeight="1">
      <c r="A159" s="157">
        <v>158</v>
      </c>
      <c r="B159" s="227"/>
      <c r="C159" s="227"/>
      <c r="D159" s="160"/>
      <c r="E159" s="166"/>
      <c r="F159" s="165"/>
      <c r="G159" s="196"/>
      <c r="H159" s="165"/>
      <c r="I159" s="155"/>
      <c r="J159" s="155"/>
      <c r="K159" s="176"/>
      <c r="L159" s="176"/>
      <c r="M159" s="155"/>
      <c r="N159" s="181"/>
      <c r="Q159" s="170"/>
      <c r="R159" s="158"/>
      <c r="T159" s="170"/>
      <c r="U159" s="182"/>
      <c r="V159" s="182"/>
      <c r="W159" s="182"/>
      <c r="X159" s="182"/>
      <c r="Y159" s="182"/>
      <c r="Z159" s="182"/>
      <c r="AA159" s="182"/>
      <c r="AB159" s="182"/>
      <c r="AC159" s="182"/>
      <c r="AD159" s="182"/>
      <c r="AE159" s="182"/>
      <c r="AF159" s="182"/>
      <c r="AG159" s="182"/>
      <c r="AH159" s="182"/>
      <c r="AI159" s="182"/>
      <c r="AJ159" s="159"/>
      <c r="AK159" s="182"/>
      <c r="AL159" s="170"/>
      <c r="AM159" s="158"/>
      <c r="AN159" s="182"/>
      <c r="AO159" s="182"/>
      <c r="AP159" s="182"/>
      <c r="AQ159" s="182"/>
      <c r="AR159" s="170"/>
      <c r="AS159" s="158"/>
      <c r="AT159" s="159"/>
      <c r="AU159" s="182"/>
      <c r="AV159" s="182"/>
      <c r="AW159" s="159"/>
      <c r="AX159" s="182"/>
      <c r="AY159" s="159"/>
      <c r="AZ159" s="158"/>
    </row>
    <row r="160" spans="1:87" ht="78" customHeight="1">
      <c r="A160" s="157">
        <v>159</v>
      </c>
      <c r="B160" s="227"/>
      <c r="C160" s="227"/>
      <c r="D160" s="160"/>
      <c r="E160" s="166"/>
      <c r="F160" s="162"/>
      <c r="G160" s="298"/>
      <c r="H160" s="163"/>
      <c r="I160" s="166"/>
      <c r="J160" s="166"/>
      <c r="K160" s="173"/>
      <c r="L160" s="164"/>
      <c r="M160" s="166"/>
      <c r="N160" s="161"/>
      <c r="AT160" s="159"/>
    </row>
    <row r="161" spans="1:17" ht="78" customHeight="1">
      <c r="A161" s="157">
        <v>160</v>
      </c>
      <c r="B161" s="254"/>
      <c r="C161" s="254"/>
      <c r="D161" s="210"/>
      <c r="E161" s="166"/>
      <c r="F161" s="163"/>
      <c r="G161" s="298"/>
      <c r="H161" s="163"/>
      <c r="I161" s="159"/>
      <c r="J161" s="159"/>
      <c r="K161" s="182"/>
      <c r="L161" s="159"/>
      <c r="M161" s="159"/>
      <c r="N161" s="159"/>
      <c r="O161" s="166"/>
      <c r="P161" s="166"/>
      <c r="Q161" s="155"/>
    </row>
    <row r="162" spans="1:17" s="198" customFormat="1" ht="78" customHeight="1">
      <c r="A162" s="157">
        <v>161</v>
      </c>
      <c r="B162" s="227"/>
      <c r="C162" s="228"/>
      <c r="D162" s="210"/>
      <c r="E162" s="164"/>
      <c r="F162" s="163"/>
      <c r="G162" s="298"/>
      <c r="H162" s="165"/>
      <c r="I162" s="171"/>
      <c r="J162" s="194"/>
      <c r="K162" s="195"/>
      <c r="L162" s="194"/>
      <c r="M162" s="196"/>
      <c r="N162" s="194"/>
      <c r="O162" s="197"/>
      <c r="P162" s="197"/>
      <c r="Q162" s="197"/>
    </row>
    <row r="163" spans="1:17" ht="78" customHeight="1">
      <c r="A163" s="157">
        <v>162</v>
      </c>
      <c r="B163" s="228"/>
      <c r="C163" s="228"/>
      <c r="D163" s="160"/>
      <c r="E163" s="166"/>
      <c r="F163" s="162"/>
      <c r="G163" s="298"/>
      <c r="H163" s="180"/>
      <c r="I163" s="158"/>
      <c r="J163" s="159"/>
      <c r="N163" s="159"/>
    </row>
    <row r="164" spans="1:17" ht="78" customHeight="1">
      <c r="A164" s="157">
        <v>163</v>
      </c>
      <c r="B164" s="228"/>
      <c r="C164" s="228"/>
      <c r="D164" s="160"/>
      <c r="E164" s="166"/>
      <c r="F164" s="175"/>
      <c r="G164" s="194"/>
      <c r="H164" s="162"/>
      <c r="I164" s="158"/>
    </row>
    <row r="165" spans="1:17" ht="78" customHeight="1">
      <c r="A165" s="157">
        <v>164</v>
      </c>
      <c r="B165" s="228"/>
      <c r="C165" s="254"/>
      <c r="D165" s="210"/>
      <c r="E165" s="166"/>
      <c r="F165" s="260"/>
      <c r="G165" s="197"/>
      <c r="H165" s="222"/>
    </row>
    <row r="166" spans="1:17" ht="78" customHeight="1">
      <c r="A166" s="157">
        <v>165</v>
      </c>
      <c r="B166" s="228"/>
      <c r="C166" s="254"/>
      <c r="D166" s="210"/>
      <c r="E166" s="159"/>
      <c r="F166" s="154"/>
      <c r="G166" s="197"/>
      <c r="H166" s="222"/>
    </row>
    <row r="167" spans="1:17" ht="78" customHeight="1">
      <c r="A167" s="157">
        <v>166</v>
      </c>
      <c r="B167" s="254"/>
      <c r="C167" s="254"/>
      <c r="D167" s="254"/>
      <c r="E167" s="166"/>
      <c r="F167" s="154"/>
      <c r="G167" s="197"/>
      <c r="H167" s="244"/>
    </row>
    <row r="168" spans="1:17" ht="78" customHeight="1">
      <c r="A168" s="157">
        <v>167</v>
      </c>
      <c r="B168" s="254"/>
      <c r="C168" s="254"/>
      <c r="D168" s="210"/>
      <c r="E168" s="166"/>
      <c r="F168" s="154"/>
      <c r="G168" s="197"/>
      <c r="H168" s="243"/>
    </row>
    <row r="169" spans="1:17" ht="78" customHeight="1">
      <c r="A169" s="157">
        <v>168</v>
      </c>
      <c r="B169" s="254"/>
      <c r="C169" s="254"/>
      <c r="D169" s="160"/>
      <c r="E169" s="166"/>
      <c r="F169" s="162"/>
      <c r="G169" s="298"/>
    </row>
    <row r="170" spans="1:17" ht="78" customHeight="1">
      <c r="A170" s="157">
        <v>169</v>
      </c>
      <c r="B170" s="254"/>
      <c r="C170" s="254"/>
      <c r="D170" s="160"/>
      <c r="E170" s="166"/>
      <c r="F170" s="162"/>
      <c r="G170" s="298"/>
    </row>
    <row r="171" spans="1:17" ht="78" customHeight="1">
      <c r="A171" s="157">
        <v>170</v>
      </c>
      <c r="B171" s="254"/>
      <c r="C171" s="254"/>
      <c r="D171" s="210"/>
      <c r="E171" s="166"/>
      <c r="F171" s="180"/>
      <c r="G171" s="298"/>
      <c r="H171" s="154"/>
    </row>
    <row r="172" spans="1:17" ht="78" customHeight="1">
      <c r="A172" s="157">
        <v>171</v>
      </c>
      <c r="B172" s="254"/>
      <c r="C172" s="254"/>
      <c r="D172" s="210"/>
      <c r="E172" s="166"/>
      <c r="F172" s="180"/>
      <c r="G172" s="298"/>
      <c r="H172" s="259"/>
    </row>
    <row r="173" spans="1:17" ht="78" customHeight="1">
      <c r="A173" s="157">
        <v>172</v>
      </c>
      <c r="B173" s="254"/>
      <c r="C173" s="254"/>
      <c r="D173" s="210"/>
      <c r="E173" s="166"/>
      <c r="F173" s="163"/>
      <c r="G173" s="298"/>
      <c r="H173" s="163"/>
    </row>
    <row r="174" spans="1:17" ht="78" customHeight="1">
      <c r="A174" s="157">
        <v>173</v>
      </c>
      <c r="B174" s="254"/>
      <c r="C174" s="254"/>
      <c r="D174" s="210"/>
      <c r="E174" s="164"/>
      <c r="F174" s="163"/>
      <c r="G174" s="298"/>
      <c r="H174" s="163"/>
      <c r="I174" s="155"/>
    </row>
    <row r="175" spans="1:17" ht="78" customHeight="1">
      <c r="A175" s="157">
        <v>174</v>
      </c>
      <c r="B175" s="254"/>
      <c r="C175" s="254"/>
      <c r="D175" s="256"/>
      <c r="F175" s="237"/>
      <c r="G175" s="298"/>
      <c r="H175" s="172"/>
      <c r="I175" s="155"/>
      <c r="J175" s="181"/>
      <c r="N175" s="171"/>
    </row>
    <row r="176" spans="1:17" ht="78" customHeight="1">
      <c r="A176" s="157">
        <v>175</v>
      </c>
      <c r="B176" s="227"/>
      <c r="C176" s="227"/>
      <c r="D176" s="210"/>
      <c r="E176" s="176"/>
      <c r="F176" s="180"/>
      <c r="G176" s="298"/>
      <c r="H176" s="154"/>
      <c r="I176" s="159"/>
      <c r="J176" s="158"/>
    </row>
    <row r="177" spans="1:10" ht="78" customHeight="1">
      <c r="A177" s="157">
        <v>176</v>
      </c>
      <c r="B177" s="227"/>
      <c r="C177" s="227"/>
      <c r="D177" s="210"/>
      <c r="E177" s="182"/>
      <c r="F177" s="218"/>
      <c r="G177" s="196"/>
    </row>
    <row r="178" spans="1:10" ht="78" customHeight="1">
      <c r="A178" s="157">
        <v>177</v>
      </c>
      <c r="B178" s="227"/>
      <c r="C178" s="254"/>
      <c r="D178" s="210"/>
      <c r="F178" s="301"/>
      <c r="G178" s="298"/>
    </row>
    <row r="179" spans="1:10" ht="78" customHeight="1">
      <c r="A179" s="157">
        <v>178</v>
      </c>
      <c r="B179" s="254"/>
      <c r="C179" s="227"/>
      <c r="D179" s="210"/>
      <c r="E179" s="169"/>
      <c r="F179" s="218"/>
      <c r="G179" s="196"/>
      <c r="H179" s="220"/>
    </row>
    <row r="180" spans="1:10" ht="78" customHeight="1">
      <c r="A180" s="157">
        <v>179</v>
      </c>
      <c r="B180" s="254"/>
      <c r="C180" s="254"/>
      <c r="D180" s="210"/>
      <c r="E180" s="164"/>
      <c r="F180" s="163"/>
      <c r="G180" s="298"/>
      <c r="H180" s="165"/>
      <c r="I180" s="173"/>
      <c r="J180" s="161"/>
    </row>
    <row r="181" spans="1:10" ht="78" customHeight="1">
      <c r="A181" s="157">
        <v>180</v>
      </c>
      <c r="B181" s="227"/>
      <c r="C181" s="227"/>
      <c r="D181" s="160"/>
      <c r="E181" s="164"/>
      <c r="F181" s="162"/>
      <c r="G181" s="298"/>
      <c r="H181" s="165"/>
    </row>
    <row r="182" spans="1:10" ht="78" customHeight="1">
      <c r="A182" s="157">
        <v>181</v>
      </c>
      <c r="B182" s="227"/>
      <c r="C182" s="227"/>
      <c r="D182" s="210"/>
      <c r="E182" s="164"/>
      <c r="F182" s="180"/>
      <c r="G182" s="298"/>
      <c r="H182" s="237"/>
    </row>
    <row r="183" spans="1:10" ht="78" customHeight="1">
      <c r="A183" s="157">
        <v>182</v>
      </c>
      <c r="B183" s="227"/>
      <c r="C183" s="267"/>
      <c r="D183" s="210"/>
      <c r="E183" s="158"/>
      <c r="F183" s="179"/>
      <c r="G183" s="298"/>
      <c r="H183" s="220"/>
      <c r="I183" s="181"/>
    </row>
    <row r="184" spans="1:10" ht="78" customHeight="1">
      <c r="A184" s="271">
        <v>183</v>
      </c>
      <c r="B184" s="267"/>
      <c r="C184" s="267"/>
      <c r="D184" s="160"/>
      <c r="E184" s="166"/>
      <c r="F184" s="162"/>
      <c r="G184" s="298"/>
      <c r="H184" s="162"/>
      <c r="I184" s="171"/>
    </row>
    <row r="185" spans="1:10" ht="78" customHeight="1">
      <c r="A185" s="272">
        <v>184</v>
      </c>
      <c r="B185" s="267"/>
      <c r="C185" s="267"/>
      <c r="D185" s="160"/>
      <c r="E185" s="166"/>
      <c r="F185" s="162"/>
      <c r="G185" s="298"/>
      <c r="H185" s="175"/>
      <c r="I185" s="158"/>
    </row>
    <row r="186" spans="1:10" ht="78" customHeight="1">
      <c r="A186" s="157">
        <v>185</v>
      </c>
      <c r="B186" s="267"/>
      <c r="C186" s="267"/>
      <c r="D186" s="160"/>
      <c r="E186" s="166"/>
      <c r="F186" s="162"/>
      <c r="G186" s="298"/>
    </row>
    <row r="187" spans="1:10" ht="78" customHeight="1">
      <c r="A187" s="157">
        <v>186</v>
      </c>
      <c r="B187" s="267"/>
      <c r="C187" s="267"/>
      <c r="D187" s="160"/>
      <c r="E187" s="166"/>
      <c r="F187" s="162"/>
      <c r="G187" s="299"/>
    </row>
    <row r="188" spans="1:10" ht="78" customHeight="1">
      <c r="A188" s="157">
        <v>187</v>
      </c>
      <c r="B188" s="267"/>
      <c r="C188" s="267"/>
      <c r="D188" s="160"/>
      <c r="E188" s="166"/>
      <c r="F188" s="179"/>
      <c r="G188" s="266"/>
      <c r="H188" s="259"/>
    </row>
    <row r="189" spans="1:10" ht="78" customHeight="1">
      <c r="A189" s="157">
        <v>188</v>
      </c>
      <c r="B189" s="267"/>
      <c r="C189" s="152"/>
      <c r="D189" s="210"/>
      <c r="E189" s="155"/>
      <c r="F189" s="163"/>
      <c r="G189" s="194"/>
      <c r="H189" s="247"/>
    </row>
    <row r="190" spans="1:10" ht="78" customHeight="1">
      <c r="A190" s="157">
        <v>189</v>
      </c>
      <c r="B190" s="267"/>
      <c r="C190" s="254"/>
      <c r="D190" s="210"/>
      <c r="E190" s="166"/>
      <c r="F190" s="180"/>
      <c r="G190" s="197"/>
      <c r="H190" s="162"/>
      <c r="I190" s="161"/>
    </row>
    <row r="191" spans="1:10" ht="78" customHeight="1">
      <c r="A191" s="157">
        <v>190</v>
      </c>
      <c r="B191" s="267"/>
      <c r="C191" s="254"/>
      <c r="D191" s="210"/>
      <c r="E191" s="167"/>
      <c r="F191" s="202"/>
      <c r="G191" s="197"/>
      <c r="H191" s="222"/>
    </row>
    <row r="192" spans="1:10" ht="78" customHeight="1">
      <c r="A192" s="157">
        <v>191</v>
      </c>
      <c r="B192" s="267"/>
      <c r="C192" s="254"/>
      <c r="D192" s="210"/>
      <c r="E192" s="161"/>
      <c r="F192" s="163"/>
      <c r="G192" s="194"/>
      <c r="H192" s="165"/>
    </row>
    <row r="193" spans="1:15" ht="78" customHeight="1">
      <c r="A193" s="157">
        <v>192</v>
      </c>
      <c r="B193" s="267"/>
      <c r="C193" s="254"/>
      <c r="D193" s="210"/>
      <c r="E193" s="161"/>
      <c r="F193" s="218"/>
      <c r="G193" s="194"/>
      <c r="H193" s="220"/>
    </row>
    <row r="194" spans="1:15" ht="78" customHeight="1">
      <c r="A194" s="157">
        <v>193</v>
      </c>
      <c r="B194" s="267"/>
      <c r="C194" s="254"/>
      <c r="D194" s="210"/>
      <c r="E194" s="166"/>
      <c r="F194" s="180"/>
      <c r="G194" s="197"/>
      <c r="H194" s="165"/>
      <c r="I194" s="181"/>
      <c r="J194" s="181"/>
      <c r="O194" s="171"/>
    </row>
    <row r="195" spans="1:15" ht="78" customHeight="1">
      <c r="A195" s="157">
        <v>194</v>
      </c>
      <c r="B195" s="254"/>
      <c r="C195" s="254"/>
      <c r="D195" s="210"/>
      <c r="E195" s="166"/>
      <c r="F195" s="180"/>
      <c r="G195" s="298"/>
      <c r="H195" s="175"/>
      <c r="I195" s="166"/>
      <c r="J195" s="158"/>
    </row>
    <row r="196" spans="1:15" ht="78" customHeight="1">
      <c r="A196" s="157">
        <v>195</v>
      </c>
      <c r="B196" s="254"/>
      <c r="C196" s="254"/>
      <c r="D196" s="160"/>
      <c r="E196" s="166"/>
      <c r="F196" s="162"/>
      <c r="G196" s="298"/>
      <c r="H196" s="260"/>
      <c r="I196" s="167"/>
    </row>
    <row r="197" spans="1:15" ht="78" customHeight="1">
      <c r="A197" s="157">
        <v>196</v>
      </c>
      <c r="B197" s="254"/>
      <c r="C197" s="254"/>
      <c r="D197" s="210"/>
      <c r="E197" s="166"/>
      <c r="F197" s="220"/>
      <c r="G197" s="196"/>
      <c r="H197" s="175"/>
      <c r="I197" s="159"/>
    </row>
    <row r="198" spans="1:15" ht="78" customHeight="1">
      <c r="A198" s="157">
        <v>197</v>
      </c>
      <c r="B198" s="254"/>
      <c r="C198" s="254"/>
      <c r="D198" s="210"/>
      <c r="E198" s="159"/>
      <c r="F198" s="180"/>
      <c r="G198" s="298"/>
      <c r="H198" s="244"/>
    </row>
    <row r="199" spans="1:15" ht="78" customHeight="1">
      <c r="A199" s="157">
        <v>198</v>
      </c>
      <c r="B199" s="254"/>
      <c r="C199" s="254"/>
      <c r="D199" s="210"/>
      <c r="E199" s="164"/>
      <c r="F199" s="163"/>
      <c r="G199" s="196"/>
      <c r="H199" s="247"/>
      <c r="I199" s="176"/>
      <c r="J199" s="176"/>
      <c r="K199" s="176"/>
      <c r="L199" s="181"/>
    </row>
    <row r="200" spans="1:15" ht="78" customHeight="1">
      <c r="A200" s="157">
        <v>199</v>
      </c>
      <c r="B200" s="254"/>
      <c r="C200" s="254"/>
      <c r="D200" s="210"/>
      <c r="E200" s="159"/>
      <c r="F200" s="180"/>
      <c r="G200" s="298"/>
      <c r="H200" s="243"/>
      <c r="I200" s="182"/>
      <c r="J200" s="182"/>
      <c r="K200" s="182"/>
      <c r="L200" s="158"/>
    </row>
    <row r="201" spans="1:15" ht="78" customHeight="1">
      <c r="A201" s="157">
        <v>200</v>
      </c>
      <c r="B201" s="254"/>
      <c r="C201" s="254"/>
      <c r="D201" s="210"/>
      <c r="E201" s="158"/>
      <c r="F201" s="180"/>
      <c r="G201" s="298"/>
      <c r="H201" s="154"/>
    </row>
    <row r="202" spans="1:15" ht="78" customHeight="1">
      <c r="A202" s="157">
        <v>201</v>
      </c>
      <c r="B202" s="254"/>
      <c r="C202" s="254"/>
      <c r="D202" s="160"/>
      <c r="E202" s="166"/>
      <c r="F202" s="162"/>
      <c r="G202" s="298"/>
      <c r="H202" s="165"/>
      <c r="I202" s="161"/>
    </row>
    <row r="203" spans="1:15" ht="78" customHeight="1">
      <c r="A203" s="157">
        <v>202</v>
      </c>
      <c r="B203" s="254"/>
      <c r="C203" s="254"/>
      <c r="D203" s="160"/>
      <c r="E203" s="166"/>
      <c r="F203" s="162"/>
      <c r="G203" s="298"/>
      <c r="H203" s="236"/>
    </row>
    <row r="204" spans="1:15" ht="78" customHeight="1">
      <c r="A204" s="157">
        <v>203</v>
      </c>
      <c r="B204" s="254"/>
      <c r="C204" s="254"/>
      <c r="D204" s="210"/>
      <c r="E204" s="173"/>
      <c r="F204" s="163"/>
      <c r="G204" s="298"/>
      <c r="H204" s="236"/>
    </row>
    <row r="205" spans="1:15" ht="78" customHeight="1">
      <c r="A205" s="157">
        <v>204</v>
      </c>
      <c r="B205" s="254"/>
      <c r="C205" s="254"/>
      <c r="D205" s="210"/>
      <c r="E205" s="176"/>
      <c r="F205" s="268"/>
      <c r="G205" s="298"/>
    </row>
    <row r="206" spans="1:15" ht="78" customHeight="1">
      <c r="A206" s="157">
        <v>205</v>
      </c>
      <c r="B206" s="254"/>
      <c r="C206" s="254"/>
      <c r="D206" s="210"/>
      <c r="E206" s="161"/>
      <c r="F206" s="163"/>
      <c r="G206" s="298"/>
      <c r="H206" s="247"/>
      <c r="O206" s="171"/>
    </row>
    <row r="207" spans="1:15" ht="78" customHeight="1">
      <c r="A207" s="157">
        <v>206</v>
      </c>
      <c r="B207" s="254"/>
      <c r="C207" s="241"/>
      <c r="D207" s="210"/>
      <c r="F207" s="163"/>
      <c r="G207" s="298"/>
      <c r="H207" s="247"/>
    </row>
    <row r="208" spans="1:15" ht="78" customHeight="1">
      <c r="A208" s="157">
        <v>207</v>
      </c>
      <c r="B208" s="254"/>
      <c r="C208" s="254"/>
      <c r="D208" s="210"/>
      <c r="E208" s="169"/>
      <c r="F208" s="163"/>
      <c r="G208" s="298"/>
      <c r="H208" s="165"/>
    </row>
    <row r="209" spans="1:11" ht="78" customHeight="1">
      <c r="A209" s="157">
        <v>208</v>
      </c>
      <c r="B209" s="254"/>
      <c r="C209" s="254"/>
      <c r="D209" s="160"/>
      <c r="E209" s="166"/>
      <c r="F209" s="162"/>
      <c r="G209" s="298"/>
      <c r="H209" s="247"/>
    </row>
    <row r="210" spans="1:11" ht="78" customHeight="1">
      <c r="A210" s="157">
        <v>209</v>
      </c>
      <c r="B210" s="254"/>
      <c r="C210" s="254"/>
      <c r="D210" s="160"/>
      <c r="E210" s="166"/>
      <c r="F210" s="162"/>
      <c r="G210" s="298"/>
      <c r="H210" s="247"/>
    </row>
    <row r="211" spans="1:11" ht="78" customHeight="1">
      <c r="A211" s="157">
        <v>210</v>
      </c>
      <c r="B211" s="254"/>
      <c r="C211" s="254"/>
      <c r="D211" s="160"/>
      <c r="E211" s="166"/>
      <c r="F211" s="162"/>
      <c r="G211" s="298"/>
      <c r="H211" s="163"/>
      <c r="J211" s="155"/>
    </row>
    <row r="212" spans="1:11" ht="78" customHeight="1">
      <c r="A212" s="157">
        <v>211</v>
      </c>
      <c r="B212" s="254"/>
      <c r="C212" s="254"/>
      <c r="D212" s="160"/>
      <c r="E212" s="166"/>
      <c r="F212" s="165"/>
      <c r="G212" s="196"/>
      <c r="H212" s="220"/>
      <c r="J212" s="167"/>
    </row>
    <row r="213" spans="1:11" ht="78" customHeight="1">
      <c r="A213" s="157">
        <v>212</v>
      </c>
      <c r="B213" s="254"/>
      <c r="C213" s="254"/>
      <c r="D213" s="160"/>
      <c r="E213" s="166"/>
      <c r="F213" s="162"/>
      <c r="G213" s="298"/>
      <c r="H213" s="165"/>
      <c r="I213" s="173"/>
      <c r="J213" s="166"/>
      <c r="K213" s="161"/>
    </row>
    <row r="214" spans="1:11" ht="78" customHeight="1">
      <c r="A214" s="157">
        <v>213</v>
      </c>
      <c r="B214" s="254"/>
      <c r="C214" s="254"/>
      <c r="D214" s="160"/>
      <c r="E214" s="166"/>
      <c r="F214" s="162"/>
      <c r="G214" s="298"/>
      <c r="H214" s="162"/>
      <c r="J214" s="167"/>
    </row>
    <row r="215" spans="1:11" ht="78" customHeight="1">
      <c r="A215" s="157">
        <v>214</v>
      </c>
      <c r="B215" s="254"/>
      <c r="C215" s="254"/>
      <c r="D215" s="160"/>
      <c r="E215" s="166"/>
      <c r="F215" s="162"/>
      <c r="G215" s="298"/>
      <c r="H215" s="165"/>
      <c r="J215" s="159"/>
    </row>
    <row r="216" spans="1:11" ht="78" customHeight="1">
      <c r="A216" s="157">
        <v>215</v>
      </c>
      <c r="B216" s="254"/>
      <c r="C216" s="269"/>
      <c r="D216" s="210"/>
      <c r="E216" s="161"/>
      <c r="F216" s="270" ph="1"/>
      <c r="G216" s="298"/>
      <c r="H216" s="236"/>
    </row>
    <row r="217" spans="1:11" ht="78" customHeight="1">
      <c r="A217" s="157">
        <v>216</v>
      </c>
      <c r="B217" s="254"/>
      <c r="C217" s="269"/>
      <c r="D217" s="210"/>
      <c r="E217" s="158"/>
      <c r="F217" s="163"/>
      <c r="G217" s="298"/>
      <c r="H217" s="247"/>
      <c r="I217" s="161"/>
    </row>
    <row r="218" spans="1:11" ht="78" customHeight="1">
      <c r="A218" s="157">
        <v>217</v>
      </c>
      <c r="B218" s="254"/>
      <c r="C218" s="269"/>
      <c r="D218" s="210"/>
      <c r="E218" s="161"/>
      <c r="F218" s="163"/>
      <c r="G218" s="298"/>
      <c r="H218" s="247"/>
    </row>
    <row r="219" spans="1:11" ht="78" customHeight="1">
      <c r="A219" s="157">
        <v>218</v>
      </c>
      <c r="B219" s="254"/>
      <c r="C219" s="269"/>
      <c r="D219" s="210"/>
      <c r="E219" s="158"/>
      <c r="F219" s="260"/>
      <c r="G219" s="298"/>
      <c r="H219" s="224"/>
    </row>
    <row r="220" spans="1:11" ht="78" customHeight="1">
      <c r="A220" s="157">
        <v>219</v>
      </c>
      <c r="B220" s="254"/>
      <c r="C220" s="269"/>
      <c r="D220" s="210"/>
      <c r="F220" s="154"/>
      <c r="G220" s="298"/>
    </row>
    <row r="221" spans="1:11" ht="78" customHeight="1">
      <c r="A221" s="157">
        <v>220</v>
      </c>
      <c r="B221" s="254"/>
      <c r="C221" s="254"/>
      <c r="D221" s="160"/>
      <c r="E221" s="166"/>
      <c r="F221" s="162"/>
      <c r="G221" s="298"/>
    </row>
    <row r="222" spans="1:11" ht="78" customHeight="1">
      <c r="A222" s="157">
        <v>221</v>
      </c>
      <c r="B222" s="254"/>
      <c r="C222" s="254"/>
      <c r="D222" s="160"/>
      <c r="E222" s="166"/>
      <c r="F222" s="162"/>
      <c r="G222" s="298"/>
      <c r="H222" s="154"/>
    </row>
    <row r="223" spans="1:11" ht="78" customHeight="1">
      <c r="A223" s="157">
        <v>222</v>
      </c>
      <c r="B223" s="254"/>
      <c r="C223" s="254"/>
      <c r="D223" s="160"/>
      <c r="E223" s="166"/>
      <c r="F223" s="162"/>
      <c r="G223" s="298"/>
      <c r="H223" s="154"/>
    </row>
    <row r="224" spans="1:11" ht="78" customHeight="1">
      <c r="A224" s="157">
        <v>223</v>
      </c>
      <c r="B224" s="254"/>
      <c r="C224" s="254"/>
      <c r="D224" s="160"/>
      <c r="E224" s="166"/>
      <c r="F224" s="162"/>
      <c r="G224" s="298"/>
    </row>
    <row r="225" spans="1:8" ht="78" customHeight="1">
      <c r="A225" s="157">
        <v>224</v>
      </c>
      <c r="B225" s="254"/>
      <c r="C225" s="254"/>
      <c r="D225" s="160"/>
      <c r="E225" s="166"/>
      <c r="F225" s="162"/>
      <c r="G225" s="298"/>
    </row>
    <row r="226" spans="1:8" ht="78" customHeight="1">
      <c r="A226" s="157">
        <v>225</v>
      </c>
      <c r="B226" s="254"/>
      <c r="C226" s="254"/>
      <c r="D226" s="160"/>
      <c r="E226" s="164"/>
      <c r="F226" s="172"/>
      <c r="G226" s="194"/>
    </row>
    <row r="227" spans="1:8" ht="78" customHeight="1">
      <c r="A227" s="157">
        <v>226</v>
      </c>
      <c r="B227" s="269"/>
      <c r="C227" s="269"/>
      <c r="D227" s="210"/>
      <c r="F227" s="257"/>
      <c r="G227" s="197"/>
      <c r="H227" s="154"/>
    </row>
    <row r="228" spans="1:8" ht="78" customHeight="1">
      <c r="A228" s="157">
        <v>227</v>
      </c>
      <c r="B228" s="269"/>
      <c r="C228" s="269"/>
      <c r="D228" s="160"/>
      <c r="E228" s="164"/>
      <c r="F228" s="175"/>
      <c r="G228" s="197"/>
    </row>
    <row r="229" spans="1:8" ht="78" customHeight="1">
      <c r="A229" s="157">
        <v>228</v>
      </c>
      <c r="B229" s="269"/>
      <c r="C229" s="269"/>
      <c r="D229" s="160"/>
      <c r="E229" s="166"/>
      <c r="F229" s="165"/>
      <c r="G229" s="298"/>
      <c r="H229" s="154"/>
    </row>
    <row r="230" spans="1:8" ht="78" customHeight="1">
      <c r="A230" s="157">
        <v>229</v>
      </c>
      <c r="B230" s="269"/>
      <c r="C230" s="269"/>
      <c r="D230" s="160"/>
      <c r="E230" s="166"/>
      <c r="F230" s="162"/>
      <c r="G230" s="298"/>
    </row>
    <row r="231" spans="1:8" ht="78" customHeight="1">
      <c r="A231" s="157">
        <v>230</v>
      </c>
      <c r="B231" s="269"/>
      <c r="C231" s="269"/>
      <c r="D231" s="160"/>
      <c r="E231" s="166"/>
      <c r="F231" s="162"/>
      <c r="G231" s="298"/>
      <c r="H231" s="154"/>
    </row>
    <row r="232" spans="1:8" ht="78" customHeight="1">
      <c r="A232" s="157">
        <v>231</v>
      </c>
      <c r="B232" s="241"/>
      <c r="C232" s="241"/>
      <c r="D232" s="210"/>
      <c r="F232" s="244"/>
      <c r="G232" s="298"/>
      <c r="H232" s="154"/>
    </row>
    <row r="233" spans="1:8" ht="78" customHeight="1">
      <c r="A233" s="157">
        <v>232</v>
      </c>
      <c r="B233" s="241"/>
      <c r="C233" s="241"/>
      <c r="D233" s="210"/>
      <c r="F233" s="244"/>
      <c r="G233" s="298"/>
      <c r="H233" s="154"/>
    </row>
    <row r="234" spans="1:8" ht="78" customHeight="1">
      <c r="A234" s="157">
        <v>233</v>
      </c>
      <c r="B234" s="241"/>
      <c r="C234" s="152"/>
      <c r="D234" s="210"/>
      <c r="F234" s="244"/>
      <c r="G234" s="298"/>
    </row>
    <row r="235" spans="1:8" ht="78" customHeight="1">
      <c r="A235" s="157">
        <v>234</v>
      </c>
      <c r="B235" s="241"/>
      <c r="C235" s="152"/>
      <c r="D235" s="210"/>
      <c r="F235" s="244"/>
      <c r="G235" s="298"/>
    </row>
    <row r="236" spans="1:8" ht="78" customHeight="1">
      <c r="A236" s="157">
        <v>235</v>
      </c>
      <c r="B236" s="241"/>
      <c r="C236" s="152"/>
      <c r="D236" s="210"/>
      <c r="F236" s="244"/>
      <c r="G236" s="198"/>
    </row>
    <row r="237" spans="1:8" ht="78" customHeight="1">
      <c r="A237" s="157">
        <v>236</v>
      </c>
      <c r="B237" s="152"/>
      <c r="C237" s="152"/>
      <c r="D237" s="210"/>
      <c r="F237" s="244"/>
      <c r="G237" s="298"/>
      <c r="H237" s="154"/>
    </row>
    <row r="238" spans="1:8" ht="78" customHeight="1">
      <c r="A238" s="157">
        <v>237</v>
      </c>
      <c r="B238" s="152"/>
      <c r="C238" s="152"/>
      <c r="D238" s="210"/>
      <c r="F238" s="244"/>
      <c r="G238" s="198"/>
      <c r="H238" s="154"/>
    </row>
    <row r="239" spans="1:8" ht="78" customHeight="1">
      <c r="A239" s="157">
        <v>238</v>
      </c>
      <c r="B239" s="241"/>
      <c r="C239" s="152"/>
      <c r="D239" s="210"/>
      <c r="E239" s="181"/>
      <c r="F239" s="244"/>
      <c r="G239" s="298"/>
    </row>
    <row r="240" spans="1:8" ht="78" customHeight="1">
      <c r="A240" s="157">
        <v>239</v>
      </c>
      <c r="B240" s="152"/>
      <c r="C240" s="152"/>
      <c r="D240" s="210"/>
      <c r="E240" s="161"/>
      <c r="F240" s="244"/>
      <c r="G240" s="298"/>
      <c r="H240" s="154"/>
    </row>
    <row r="241" spans="1:8" ht="78" customHeight="1">
      <c r="A241" s="157">
        <v>240</v>
      </c>
      <c r="B241" s="152"/>
      <c r="C241" s="152"/>
      <c r="D241" s="210"/>
      <c r="F241" s="244"/>
      <c r="G241" s="298"/>
      <c r="H241" s="154"/>
    </row>
    <row r="242" spans="1:8" ht="78" customHeight="1">
      <c r="A242" s="157">
        <v>241</v>
      </c>
      <c r="B242" s="152"/>
      <c r="C242" s="152"/>
      <c r="D242" s="160"/>
      <c r="E242" s="166"/>
      <c r="F242" s="162"/>
      <c r="G242" s="298"/>
    </row>
    <row r="243" spans="1:8" ht="78" customHeight="1">
      <c r="A243" s="157">
        <v>242</v>
      </c>
      <c r="B243" s="152"/>
      <c r="C243" s="152"/>
      <c r="D243" s="210"/>
      <c r="F243" s="244"/>
      <c r="G243" s="198"/>
    </row>
    <row r="244" spans="1:8" ht="78" customHeight="1">
      <c r="A244" s="157">
        <v>243</v>
      </c>
      <c r="B244" s="152"/>
      <c r="C244" s="152"/>
      <c r="D244" s="210"/>
      <c r="F244" s="244"/>
      <c r="G244" s="161"/>
    </row>
    <row r="245" spans="1:8" ht="78" customHeight="1">
      <c r="A245" s="157">
        <v>244</v>
      </c>
      <c r="B245" s="152"/>
      <c r="C245" s="152"/>
      <c r="D245" s="210"/>
      <c r="F245" s="222"/>
      <c r="G245" s="161"/>
    </row>
    <row r="246" spans="1:8" ht="78" customHeight="1">
      <c r="A246" s="157">
        <v>245</v>
      </c>
      <c r="B246" s="152"/>
      <c r="C246" s="152"/>
      <c r="D246" s="210"/>
      <c r="F246" s="244"/>
      <c r="G246" s="161"/>
      <c r="H246" s="154"/>
    </row>
    <row r="247" spans="1:8" ht="78" customHeight="1">
      <c r="A247" s="157">
        <v>246</v>
      </c>
      <c r="B247" s="152"/>
      <c r="C247" s="152"/>
      <c r="D247" s="210"/>
      <c r="F247" s="222"/>
      <c r="G247" s="161"/>
    </row>
    <row r="248" spans="1:8" ht="78" customHeight="1">
      <c r="A248" s="157">
        <v>247</v>
      </c>
      <c r="B248" s="152"/>
      <c r="C248" s="152"/>
      <c r="D248" s="210"/>
      <c r="F248" s="222"/>
      <c r="G248" s="161"/>
      <c r="H248" s="154"/>
    </row>
    <row r="249" spans="1:8" ht="78" customHeight="1">
      <c r="A249" s="157">
        <v>248</v>
      </c>
      <c r="B249" s="152"/>
      <c r="C249" s="152"/>
      <c r="D249" s="256"/>
      <c r="F249" s="244"/>
      <c r="G249" s="161"/>
      <c r="H249" s="154"/>
    </row>
    <row r="250" spans="1:8" ht="78" customHeight="1">
      <c r="A250" s="157">
        <v>249</v>
      </c>
      <c r="B250" s="152"/>
      <c r="C250" s="152"/>
      <c r="D250" s="210"/>
      <c r="E250" s="161"/>
      <c r="F250" s="244"/>
    </row>
    <row r="251" spans="1:8" ht="78" customHeight="1">
      <c r="A251" s="157">
        <v>250</v>
      </c>
      <c r="B251" s="152"/>
      <c r="C251" s="152"/>
      <c r="D251" s="210"/>
      <c r="E251" s="161"/>
      <c r="F251" s="244"/>
      <c r="G251" s="161"/>
    </row>
    <row r="252" spans="1:8" ht="78" customHeight="1">
      <c r="B252" s="152"/>
      <c r="C252" s="152"/>
      <c r="D252" s="210"/>
      <c r="F252" s="244"/>
      <c r="G252" s="161"/>
    </row>
    <row r="253" spans="1:8" ht="78" customHeight="1">
      <c r="B253" s="152"/>
      <c r="C253" s="152"/>
      <c r="D253" s="256"/>
      <c r="F253" s="244"/>
      <c r="G253" s="161"/>
      <c r="H253" s="154"/>
    </row>
    <row r="254" spans="1:8" ht="78" customHeight="1">
      <c r="B254" s="152"/>
      <c r="C254" s="152"/>
      <c r="D254" s="210"/>
      <c r="E254" s="161"/>
      <c r="F254" s="244"/>
      <c r="G254" s="161"/>
      <c r="H254" s="154"/>
    </row>
    <row r="255" spans="1:8" ht="78" customHeight="1">
      <c r="B255" s="152"/>
      <c r="C255" s="152"/>
      <c r="D255" s="210"/>
      <c r="E255" s="158"/>
      <c r="F255" s="244"/>
      <c r="G255" s="161"/>
    </row>
    <row r="256" spans="1:8" ht="78" customHeight="1">
      <c r="B256" s="152"/>
      <c r="C256" s="152"/>
      <c r="D256" s="210"/>
      <c r="F256" s="244"/>
      <c r="G256" s="161"/>
    </row>
    <row r="257" spans="2:8" ht="78" customHeight="1">
      <c r="B257" s="152"/>
      <c r="C257" s="152"/>
      <c r="D257" s="256"/>
      <c r="F257" s="244"/>
      <c r="G257" s="161"/>
    </row>
    <row r="258" spans="2:8" ht="78" customHeight="1">
      <c r="B258" s="227"/>
      <c r="C258" s="227"/>
      <c r="D258" s="256"/>
      <c r="E258" s="181"/>
      <c r="F258" s="179"/>
      <c r="G258" s="161"/>
    </row>
    <row r="259" spans="2:8" ht="78" customHeight="1">
      <c r="B259" s="227"/>
      <c r="C259" s="227"/>
      <c r="D259" s="256"/>
      <c r="E259" s="161"/>
      <c r="F259" s="179"/>
      <c r="G259" s="161"/>
    </row>
    <row r="260" spans="2:8" ht="78" customHeight="1">
      <c r="B260" s="152"/>
      <c r="C260" s="152"/>
      <c r="D260" s="256"/>
      <c r="E260" s="161"/>
      <c r="F260" s="179"/>
      <c r="G260" s="161"/>
    </row>
    <row r="261" spans="2:8" ht="78" customHeight="1">
      <c r="B261" s="152"/>
      <c r="C261" s="152"/>
      <c r="D261" s="256"/>
      <c r="F261" s="179"/>
      <c r="G261" s="161"/>
    </row>
    <row r="262" spans="2:8" ht="78" customHeight="1">
      <c r="B262" s="227"/>
      <c r="C262" s="227"/>
      <c r="D262" s="256"/>
      <c r="E262" s="181"/>
      <c r="F262" s="179"/>
      <c r="G262" s="161"/>
      <c r="H262" s="154"/>
    </row>
    <row r="263" spans="2:8" ht="78" customHeight="1">
      <c r="B263" s="254"/>
      <c r="C263" s="254"/>
      <c r="D263" s="210"/>
      <c r="E263" s="181"/>
      <c r="F263" s="179"/>
      <c r="G263" s="161"/>
    </row>
    <row r="264" spans="2:8" ht="78" customHeight="1">
      <c r="B264" s="228"/>
      <c r="C264" s="228"/>
      <c r="D264" s="212"/>
      <c r="E264" s="181"/>
      <c r="F264" s="179"/>
      <c r="G264" s="161"/>
    </row>
    <row r="265" spans="2:8" ht="78" customHeight="1">
      <c r="B265" s="254"/>
      <c r="C265" s="254"/>
      <c r="D265" s="212"/>
      <c r="E265" s="181"/>
      <c r="F265" s="179"/>
      <c r="G265" s="161"/>
    </row>
    <row r="266" spans="2:8" ht="78" customHeight="1">
      <c r="B266" s="152"/>
      <c r="C266" s="152"/>
      <c r="D266" s="212"/>
      <c r="E266" s="181"/>
      <c r="F266" s="179"/>
      <c r="G266" s="181"/>
    </row>
    <row r="267" spans="2:8" ht="78" customHeight="1">
      <c r="B267" s="228"/>
      <c r="C267" s="228"/>
      <c r="D267" s="210"/>
      <c r="F267" s="163"/>
      <c r="G267" s="161"/>
      <c r="H267" s="247"/>
    </row>
    <row r="268" spans="2:8" ht="78" customHeight="1">
      <c r="B268" s="152"/>
      <c r="C268" s="152"/>
      <c r="D268" s="210"/>
      <c r="F268" s="163"/>
      <c r="G268" s="161"/>
      <c r="H268" s="247"/>
    </row>
    <row r="269" spans="2:8" ht="78" customHeight="1">
      <c r="B269" s="152"/>
      <c r="C269" s="152"/>
      <c r="D269" s="210"/>
      <c r="F269" s="163"/>
      <c r="G269" s="161"/>
      <c r="H269" s="247"/>
    </row>
    <row r="270" spans="2:8" ht="78" customHeight="1">
      <c r="B270" s="152"/>
      <c r="C270" s="152"/>
      <c r="D270" s="210"/>
      <c r="F270" s="165"/>
      <c r="G270" s="161"/>
      <c r="H270" s="247"/>
    </row>
    <row r="271" spans="2:8" ht="78" customHeight="1">
      <c r="B271" s="152"/>
      <c r="C271" s="152"/>
      <c r="D271" s="210"/>
      <c r="F271" s="163"/>
      <c r="G271" s="161"/>
      <c r="H271" s="247"/>
    </row>
    <row r="272" spans="2:8" ht="78" customHeight="1">
      <c r="B272" s="152"/>
      <c r="C272" s="152"/>
      <c r="D272" s="210"/>
      <c r="F272" s="163"/>
      <c r="G272" s="161"/>
      <c r="H272" s="247"/>
    </row>
    <row r="273" spans="1:12" ht="78" customHeight="1">
      <c r="B273" s="152"/>
      <c r="C273" s="152"/>
      <c r="D273" s="212"/>
      <c r="E273" s="181"/>
      <c r="F273" s="179"/>
      <c r="G273" s="161"/>
      <c r="H273" s="154"/>
    </row>
    <row r="274" spans="1:12" ht="78" customHeight="1">
      <c r="B274" s="152"/>
      <c r="C274" s="152"/>
      <c r="D274" s="212"/>
      <c r="E274" s="181"/>
      <c r="F274" s="179"/>
      <c r="G274" s="161"/>
    </row>
    <row r="275" spans="1:12" ht="78" customHeight="1">
      <c r="B275" s="152"/>
      <c r="C275" s="152"/>
      <c r="D275" s="210"/>
      <c r="F275" s="244"/>
      <c r="G275" s="161"/>
    </row>
    <row r="276" spans="1:12" ht="78" customHeight="1">
      <c r="B276" s="152"/>
      <c r="C276" s="152"/>
      <c r="D276" s="256"/>
      <c r="F276" s="244"/>
      <c r="G276" s="161"/>
    </row>
    <row r="277" spans="1:12" ht="78" customHeight="1">
      <c r="B277" s="152"/>
      <c r="C277" s="152"/>
      <c r="D277" s="256"/>
      <c r="E277" s="155"/>
      <c r="F277" s="222"/>
      <c r="G277" s="173"/>
    </row>
    <row r="278" spans="1:12" ht="78" customHeight="1">
      <c r="A278" s="271"/>
      <c r="B278" s="227"/>
      <c r="C278" s="227"/>
      <c r="D278" s="210"/>
      <c r="E278" s="166"/>
      <c r="F278" s="163"/>
      <c r="G278" s="161"/>
      <c r="H278" s="154"/>
    </row>
    <row r="279" spans="1:12" ht="78" customHeight="1">
      <c r="A279" s="272"/>
      <c r="B279" s="228"/>
      <c r="C279" s="228"/>
      <c r="D279" s="210"/>
      <c r="E279" s="166"/>
      <c r="F279" s="162"/>
      <c r="G279" s="173"/>
      <c r="H279" s="218"/>
    </row>
    <row r="280" spans="1:12" ht="78" customHeight="1">
      <c r="B280" s="152"/>
      <c r="C280" s="152"/>
      <c r="D280" s="212"/>
      <c r="E280" s="171"/>
      <c r="F280" s="179"/>
      <c r="G280" s="173"/>
      <c r="H280" s="162"/>
      <c r="L280" s="171"/>
    </row>
    <row r="281" spans="1:12" ht="78" customHeight="1">
      <c r="B281" s="152"/>
      <c r="C281" s="152"/>
      <c r="D281" s="212"/>
      <c r="E281" s="181"/>
      <c r="F281" s="179"/>
      <c r="G281" s="173"/>
    </row>
    <row r="282" spans="1:12" ht="78" customHeight="1">
      <c r="B282" s="152"/>
      <c r="C282" s="152"/>
      <c r="D282" s="212"/>
      <c r="E282" s="181"/>
      <c r="F282" s="222"/>
      <c r="G282" s="173"/>
    </row>
    <row r="283" spans="1:12" ht="78" customHeight="1">
      <c r="B283" s="152"/>
      <c r="C283" s="152"/>
      <c r="D283" s="261"/>
      <c r="F283" s="222"/>
      <c r="G283" s="173"/>
    </row>
    <row r="284" spans="1:12" ht="78" customHeight="1">
      <c r="B284" s="152"/>
      <c r="C284" s="152"/>
      <c r="D284" s="256"/>
      <c r="F284" s="244"/>
      <c r="G284" s="173"/>
    </row>
    <row r="285" spans="1:12" ht="78" customHeight="1">
      <c r="B285" s="152"/>
      <c r="C285" s="152"/>
      <c r="D285" s="256"/>
      <c r="E285" s="181"/>
      <c r="F285" s="244"/>
      <c r="G285" s="173"/>
    </row>
    <row r="286" spans="1:12" ht="78" customHeight="1">
      <c r="B286" s="152"/>
      <c r="C286" s="152"/>
      <c r="D286" s="256"/>
      <c r="E286" s="181"/>
      <c r="F286" s="244"/>
      <c r="G286" s="173"/>
    </row>
    <row r="287" spans="1:12" ht="78" customHeight="1">
      <c r="B287" s="152"/>
      <c r="C287" s="152"/>
      <c r="D287" s="210"/>
      <c r="E287" s="161"/>
      <c r="F287" s="218"/>
      <c r="G287" s="173"/>
      <c r="I287" s="155"/>
    </row>
    <row r="288" spans="1:12" ht="78" customHeight="1">
      <c r="B288" s="254"/>
      <c r="C288" s="254"/>
      <c r="D288" s="210"/>
      <c r="E288" s="166"/>
      <c r="F288" s="163"/>
      <c r="G288" s="173"/>
      <c r="H288" s="262"/>
      <c r="I288" s="155"/>
    </row>
    <row r="289" spans="2:9" ht="78" customHeight="1">
      <c r="B289" s="254"/>
      <c r="C289" s="254"/>
      <c r="D289" s="210"/>
      <c r="E289" s="166"/>
      <c r="F289" s="220"/>
      <c r="G289" s="173"/>
      <c r="H289" s="257"/>
      <c r="I289" s="159"/>
    </row>
    <row r="290" spans="2:9" ht="78" customHeight="1">
      <c r="B290" s="152"/>
      <c r="C290" s="152"/>
      <c r="D290" s="212"/>
      <c r="E290" s="166"/>
      <c r="F290" s="179"/>
      <c r="G290" s="173"/>
      <c r="H290" s="273"/>
      <c r="I290" s="167"/>
    </row>
    <row r="291" spans="2:9" ht="78" customHeight="1">
      <c r="B291" s="254"/>
      <c r="C291" s="254"/>
      <c r="D291" s="210"/>
      <c r="E291" s="166"/>
      <c r="F291" s="162"/>
      <c r="G291" s="173"/>
      <c r="H291" s="175"/>
      <c r="I291" s="159"/>
    </row>
    <row r="292" spans="2:9" ht="78" customHeight="1">
      <c r="B292" s="254"/>
      <c r="C292" s="254"/>
      <c r="D292" s="210"/>
      <c r="E292" s="158"/>
      <c r="F292" s="180"/>
      <c r="G292" s="173"/>
    </row>
    <row r="293" spans="2:9" ht="78" customHeight="1">
      <c r="B293" s="152"/>
      <c r="C293" s="152"/>
      <c r="D293" s="210"/>
      <c r="E293" s="166"/>
      <c r="F293" s="179"/>
      <c r="G293" s="173"/>
    </row>
    <row r="294" spans="2:9" ht="78" customHeight="1">
      <c r="B294" s="152"/>
      <c r="C294" s="152"/>
      <c r="D294" s="210"/>
      <c r="E294" s="166"/>
      <c r="F294" s="179"/>
      <c r="G294" s="173"/>
    </row>
    <row r="295" spans="2:9" ht="78" customHeight="1">
      <c r="B295" s="152"/>
      <c r="C295" s="152"/>
      <c r="D295" s="210"/>
      <c r="F295" s="244"/>
      <c r="G295" s="173"/>
    </row>
    <row r="296" spans="2:9" ht="78" customHeight="1">
      <c r="B296" s="152"/>
      <c r="C296" s="152"/>
      <c r="D296" s="256"/>
      <c r="E296" s="164"/>
      <c r="F296" s="163"/>
      <c r="G296" s="173"/>
      <c r="H296" s="220"/>
    </row>
    <row r="297" spans="2:9" ht="78" customHeight="1">
      <c r="B297" s="254"/>
      <c r="C297" s="254"/>
      <c r="D297" s="210"/>
      <c r="E297" s="182"/>
      <c r="F297" s="179"/>
      <c r="G297" s="161"/>
      <c r="H297" s="162"/>
    </row>
    <row r="298" spans="2:9" ht="78" customHeight="1">
      <c r="B298" s="254"/>
      <c r="C298" s="254"/>
      <c r="D298" s="210"/>
      <c r="E298" s="166"/>
      <c r="F298" s="218"/>
      <c r="G298" s="181"/>
      <c r="H298" s="154"/>
    </row>
    <row r="299" spans="2:9" ht="78" customHeight="1">
      <c r="B299" s="254"/>
      <c r="C299" s="254"/>
      <c r="D299" s="210"/>
      <c r="E299" s="166"/>
      <c r="F299" s="180"/>
      <c r="G299" s="161"/>
      <c r="H299" s="165"/>
    </row>
    <row r="300" spans="2:9" ht="78" customHeight="1">
      <c r="B300" s="254"/>
      <c r="C300" s="254"/>
      <c r="D300" s="210"/>
      <c r="E300" s="159"/>
      <c r="F300" s="244"/>
      <c r="G300" s="161"/>
    </row>
    <row r="301" spans="2:9" ht="78" customHeight="1">
      <c r="B301" s="254"/>
      <c r="C301" s="254"/>
      <c r="D301" s="210"/>
      <c r="E301" s="159"/>
      <c r="F301" s="244"/>
      <c r="G301" s="161"/>
      <c r="H301" s="154"/>
    </row>
    <row r="302" spans="2:9" ht="78" customHeight="1">
      <c r="B302" s="254"/>
      <c r="C302" s="254"/>
      <c r="D302" s="210"/>
      <c r="F302" s="244"/>
      <c r="G302" s="161"/>
    </row>
    <row r="303" spans="2:9" ht="78" customHeight="1">
      <c r="B303" s="254"/>
      <c r="C303" s="254"/>
      <c r="D303" s="210"/>
      <c r="F303" s="244"/>
      <c r="G303" s="161"/>
    </row>
    <row r="304" spans="2:9" ht="78" customHeight="1">
      <c r="B304" s="254"/>
      <c r="C304" s="254"/>
      <c r="D304" s="210"/>
      <c r="F304" s="244"/>
      <c r="G304" s="161"/>
    </row>
    <row r="305" spans="2:13" ht="78" customHeight="1">
      <c r="B305" s="254"/>
      <c r="C305" s="152"/>
      <c r="D305" s="210"/>
      <c r="F305" s="244"/>
      <c r="G305" s="161"/>
      <c r="H305" s="154"/>
    </row>
    <row r="306" spans="2:13" ht="78" customHeight="1">
      <c r="B306" s="254"/>
      <c r="C306" s="254"/>
      <c r="D306" s="210"/>
      <c r="F306" s="244"/>
      <c r="G306" s="161"/>
    </row>
    <row r="307" spans="2:13" ht="78" customHeight="1">
      <c r="B307" s="152"/>
      <c r="C307" s="152"/>
      <c r="D307" s="210"/>
      <c r="F307" s="244"/>
      <c r="G307" s="161"/>
    </row>
    <row r="308" spans="2:13" ht="78" customHeight="1">
      <c r="B308" s="152"/>
      <c r="C308" s="152"/>
      <c r="D308" s="210"/>
      <c r="F308" s="244"/>
      <c r="G308" s="161"/>
      <c r="H308" s="154"/>
    </row>
    <row r="309" spans="2:13" ht="78" customHeight="1">
      <c r="B309" s="152"/>
      <c r="C309" s="152"/>
      <c r="D309" s="210"/>
      <c r="F309" s="244"/>
      <c r="G309" s="181"/>
    </row>
    <row r="310" spans="2:13" ht="78" customHeight="1">
      <c r="B310" s="152"/>
      <c r="C310" s="152"/>
      <c r="D310" s="210"/>
      <c r="F310" s="244"/>
      <c r="G310" s="161"/>
    </row>
    <row r="311" spans="2:13" ht="78" customHeight="1">
      <c r="B311" s="152"/>
      <c r="C311" s="152"/>
      <c r="D311" s="210"/>
      <c r="F311" s="244"/>
      <c r="G311" s="161"/>
    </row>
    <row r="312" spans="2:13" ht="78" customHeight="1">
      <c r="B312" s="152"/>
      <c r="C312" s="152"/>
      <c r="D312" s="210"/>
      <c r="F312" s="244"/>
      <c r="G312" s="181"/>
      <c r="H312" s="154"/>
    </row>
    <row r="313" spans="2:13" ht="78" customHeight="1">
      <c r="B313" s="152"/>
      <c r="C313" s="152"/>
      <c r="D313" s="210"/>
      <c r="F313" s="244"/>
      <c r="G313" s="181"/>
      <c r="H313" s="165"/>
    </row>
    <row r="314" spans="2:13" ht="78" customHeight="1">
      <c r="B314" s="152"/>
      <c r="C314" s="152"/>
      <c r="D314" s="210"/>
      <c r="F314" s="222"/>
      <c r="G314" s="181"/>
      <c r="H314" s="154"/>
    </row>
    <row r="315" spans="2:13" ht="78" customHeight="1">
      <c r="B315" s="152"/>
      <c r="C315" s="152"/>
      <c r="D315" s="210"/>
      <c r="F315" s="244"/>
      <c r="G315" s="181"/>
      <c r="H315" s="247"/>
    </row>
    <row r="316" spans="2:13" ht="78" customHeight="1">
      <c r="B316" s="152"/>
      <c r="C316" s="152"/>
      <c r="D316" s="210"/>
      <c r="F316" s="163"/>
      <c r="G316" s="181"/>
      <c r="H316" s="165"/>
    </row>
    <row r="317" spans="2:13" ht="78" customHeight="1">
      <c r="B317" s="152"/>
      <c r="C317" s="152"/>
      <c r="D317" s="210"/>
      <c r="E317" s="164"/>
      <c r="F317" s="243"/>
      <c r="G317" s="181"/>
      <c r="H317" s="179"/>
      <c r="L317" s="164"/>
      <c r="M317" s="161"/>
    </row>
    <row r="318" spans="2:13" ht="78" customHeight="1">
      <c r="B318" s="152"/>
      <c r="C318" s="152"/>
      <c r="D318" s="210"/>
      <c r="E318" s="164"/>
      <c r="F318" s="236"/>
      <c r="G318" s="181"/>
      <c r="H318" s="179"/>
    </row>
    <row r="319" spans="2:13" ht="78" customHeight="1">
      <c r="B319" s="152"/>
      <c r="C319" s="152"/>
      <c r="D319" s="210"/>
      <c r="F319" s="244"/>
      <c r="G319" s="181"/>
      <c r="H319" s="162"/>
    </row>
    <row r="320" spans="2:13" ht="78" customHeight="1">
      <c r="B320" s="152"/>
      <c r="C320" s="152"/>
      <c r="D320" s="210"/>
      <c r="F320" s="244"/>
      <c r="G320" s="181"/>
    </row>
    <row r="321" spans="2:8" ht="78" customHeight="1">
      <c r="B321" s="152"/>
      <c r="C321" s="152"/>
      <c r="D321" s="210"/>
      <c r="F321" s="244"/>
      <c r="G321" s="181"/>
      <c r="H321" s="154"/>
    </row>
    <row r="322" spans="2:8" ht="78" customHeight="1">
      <c r="B322" s="152"/>
      <c r="C322" s="152"/>
      <c r="D322" s="210"/>
      <c r="F322" s="244"/>
      <c r="G322" s="181"/>
    </row>
    <row r="323" spans="2:8" ht="78" customHeight="1">
      <c r="B323" s="152"/>
      <c r="C323" s="152"/>
      <c r="D323" s="210"/>
      <c r="F323" s="244"/>
      <c r="G323" s="181"/>
    </row>
    <row r="324" spans="2:8" ht="78" customHeight="1">
      <c r="B324" s="152"/>
      <c r="C324" s="152"/>
      <c r="D324" s="210"/>
      <c r="F324" s="244"/>
      <c r="G324" s="181"/>
    </row>
    <row r="325" spans="2:8" ht="78" customHeight="1">
      <c r="B325" s="152"/>
      <c r="C325" s="152"/>
      <c r="D325" s="210"/>
      <c r="F325" s="244"/>
      <c r="G325" s="181"/>
      <c r="H325" s="154"/>
    </row>
    <row r="326" spans="2:8" ht="78" customHeight="1">
      <c r="B326" s="152"/>
      <c r="C326" s="152"/>
      <c r="D326" s="210"/>
      <c r="F326" s="244"/>
      <c r="G326" s="181"/>
      <c r="H326" s="154"/>
    </row>
    <row r="327" spans="2:8" ht="78" customHeight="1">
      <c r="B327" s="152"/>
      <c r="C327" s="152"/>
      <c r="D327" s="210"/>
      <c r="F327" s="244"/>
      <c r="G327" s="181"/>
    </row>
    <row r="328" spans="2:8" ht="78" customHeight="1">
      <c r="B328" s="152"/>
      <c r="C328" s="152"/>
      <c r="D328" s="210"/>
      <c r="F328" s="244"/>
      <c r="G328" s="181"/>
    </row>
    <row r="329" spans="2:8" ht="78" customHeight="1">
      <c r="B329" s="152"/>
      <c r="C329" s="152"/>
      <c r="D329" s="210"/>
      <c r="F329" s="244"/>
      <c r="G329" s="181"/>
      <c r="H329" s="154"/>
    </row>
    <row r="330" spans="2:8" ht="78" customHeight="1">
      <c r="B330" s="152"/>
      <c r="C330" s="152"/>
      <c r="D330" s="210"/>
      <c r="F330" s="244"/>
      <c r="G330" s="181"/>
    </row>
    <row r="331" spans="2:8" ht="78" customHeight="1">
      <c r="B331" s="152"/>
      <c r="C331" s="152"/>
      <c r="D331" s="210"/>
      <c r="F331" s="244"/>
      <c r="G331" s="181"/>
    </row>
    <row r="332" spans="2:8" ht="78" customHeight="1">
      <c r="B332" s="152"/>
      <c r="C332" s="152"/>
      <c r="D332" s="210"/>
      <c r="F332" s="244"/>
      <c r="G332" s="181"/>
      <c r="H332" s="154"/>
    </row>
    <row r="333" spans="2:8" ht="78" customHeight="1">
      <c r="B333" s="152"/>
      <c r="C333" s="152"/>
      <c r="D333" s="210"/>
      <c r="E333" s="166"/>
      <c r="F333" s="179"/>
      <c r="G333" s="181"/>
    </row>
    <row r="334" spans="2:8" ht="78" customHeight="1">
      <c r="B334" s="152"/>
      <c r="C334" s="152"/>
      <c r="D334" s="210"/>
      <c r="E334" s="166"/>
      <c r="F334" s="179"/>
      <c r="G334" s="181"/>
    </row>
    <row r="335" spans="2:8" ht="78" customHeight="1">
      <c r="B335" s="152"/>
      <c r="C335" s="152"/>
      <c r="D335" s="210"/>
      <c r="F335" s="244"/>
      <c r="G335" s="181"/>
    </row>
    <row r="336" spans="2:8" ht="78" customHeight="1">
      <c r="B336" s="152"/>
      <c r="C336" s="152"/>
      <c r="D336" s="210"/>
      <c r="F336" s="244"/>
      <c r="G336" s="181"/>
      <c r="H336" s="154"/>
    </row>
    <row r="337" spans="2:8" ht="78" customHeight="1">
      <c r="B337" s="152"/>
      <c r="C337" s="152"/>
      <c r="D337" s="210"/>
      <c r="F337" s="244"/>
      <c r="G337" s="181"/>
    </row>
    <row r="338" spans="2:8" ht="78" customHeight="1">
      <c r="B338" s="152"/>
      <c r="C338" s="153"/>
      <c r="D338" s="210"/>
      <c r="F338" s="244"/>
      <c r="G338" s="161"/>
      <c r="H338" s="154"/>
    </row>
    <row r="339" spans="2:8" ht="78" customHeight="1">
      <c r="B339" s="152"/>
      <c r="C339" s="152"/>
      <c r="D339" s="210"/>
      <c r="E339" s="166"/>
      <c r="F339" s="179"/>
      <c r="G339" s="181"/>
    </row>
    <row r="340" spans="2:8" ht="78" customHeight="1">
      <c r="B340" s="152"/>
      <c r="C340" s="152"/>
      <c r="D340" s="210"/>
      <c r="F340" s="244"/>
      <c r="G340" s="181"/>
    </row>
    <row r="341" spans="2:8" ht="78" customHeight="1">
      <c r="B341" s="152"/>
      <c r="C341" s="152"/>
      <c r="D341" s="210"/>
      <c r="E341" s="166"/>
      <c r="F341" s="179"/>
      <c r="G341" s="181"/>
    </row>
    <row r="342" spans="2:8" ht="78" customHeight="1">
      <c r="B342" s="152"/>
      <c r="C342" s="152"/>
      <c r="D342" s="210"/>
      <c r="E342" s="166"/>
      <c r="F342" s="179"/>
      <c r="G342" s="181"/>
    </row>
    <row r="343" spans="2:8" ht="78" customHeight="1">
      <c r="B343" s="152"/>
      <c r="C343" s="152"/>
      <c r="D343" s="210"/>
      <c r="E343" s="166"/>
      <c r="F343" s="179"/>
      <c r="G343" s="181"/>
    </row>
    <row r="344" spans="2:8" ht="78" customHeight="1">
      <c r="B344" s="152"/>
      <c r="C344" s="152"/>
      <c r="D344" s="210"/>
      <c r="F344" s="244"/>
      <c r="G344" s="181"/>
    </row>
    <row r="345" spans="2:8" ht="78" customHeight="1">
      <c r="B345" s="152"/>
      <c r="C345" s="152"/>
      <c r="D345" s="210"/>
      <c r="F345" s="244"/>
      <c r="G345" s="181"/>
      <c r="H345" s="154"/>
    </row>
    <row r="346" spans="2:8" ht="78" customHeight="1">
      <c r="B346" s="152"/>
      <c r="C346" s="152"/>
      <c r="D346" s="210"/>
      <c r="F346" s="244"/>
      <c r="G346" s="181"/>
    </row>
    <row r="347" spans="2:8" ht="78" customHeight="1">
      <c r="B347" s="152"/>
      <c r="C347" s="152"/>
      <c r="D347" s="210"/>
      <c r="E347" s="166"/>
      <c r="F347" s="179"/>
      <c r="G347" s="181"/>
    </row>
    <row r="348" spans="2:8" ht="78" customHeight="1">
      <c r="B348" s="152"/>
      <c r="C348" s="152"/>
      <c r="D348" s="210"/>
      <c r="E348" s="166"/>
      <c r="F348" s="179"/>
      <c r="G348" s="181"/>
    </row>
    <row r="349" spans="2:8" ht="78" customHeight="1">
      <c r="B349" s="152"/>
      <c r="C349" s="152"/>
      <c r="D349" s="210"/>
      <c r="F349" s="244"/>
      <c r="G349" s="181"/>
      <c r="H349" s="154"/>
    </row>
    <row r="350" spans="2:8" ht="78" customHeight="1">
      <c r="B350" s="152"/>
      <c r="C350" s="153"/>
      <c r="D350" s="210"/>
      <c r="F350" s="244"/>
      <c r="G350" s="181"/>
    </row>
    <row r="351" spans="2:8" ht="78" customHeight="1">
      <c r="B351" s="152"/>
      <c r="C351" s="153"/>
      <c r="D351" s="210"/>
      <c r="F351" s="244"/>
      <c r="G351" s="181"/>
    </row>
    <row r="352" spans="2:8" ht="78" customHeight="1">
      <c r="B352" s="152"/>
      <c r="C352" s="152"/>
      <c r="D352" s="210"/>
      <c r="E352" s="166"/>
      <c r="F352" s="179"/>
      <c r="G352" s="181"/>
    </row>
    <row r="353" spans="2:8" ht="78" customHeight="1">
      <c r="B353" s="152"/>
      <c r="C353" s="152"/>
      <c r="D353" s="210"/>
      <c r="F353" s="244"/>
      <c r="G353" s="181"/>
    </row>
    <row r="354" spans="2:8" ht="78" customHeight="1">
      <c r="B354" s="152"/>
      <c r="C354" s="152"/>
      <c r="D354" s="210"/>
      <c r="F354" s="244"/>
      <c r="G354" s="181"/>
    </row>
    <row r="355" spans="2:8" ht="78" customHeight="1">
      <c r="B355" s="152"/>
      <c r="C355" s="152"/>
      <c r="D355" s="210"/>
      <c r="F355" s="244"/>
      <c r="G355" s="181"/>
    </row>
    <row r="356" spans="2:8" ht="78" customHeight="1">
      <c r="B356" s="152"/>
      <c r="C356" s="152"/>
      <c r="D356" s="210"/>
      <c r="F356" s="244"/>
      <c r="G356" s="181"/>
      <c r="H356" s="154"/>
    </row>
    <row r="357" spans="2:8" ht="78" customHeight="1">
      <c r="B357" s="152"/>
      <c r="C357" s="152"/>
      <c r="D357" s="210"/>
      <c r="F357" s="244"/>
      <c r="G357" s="181"/>
    </row>
    <row r="358" spans="2:8" ht="78" customHeight="1">
      <c r="B358" s="152"/>
      <c r="C358" s="152"/>
      <c r="D358" s="210"/>
      <c r="F358" s="244"/>
      <c r="G358" s="181"/>
      <c r="H358" s="154"/>
    </row>
    <row r="359" spans="2:8" ht="78" customHeight="1">
      <c r="B359" s="152"/>
      <c r="C359" s="152"/>
      <c r="D359" s="210"/>
      <c r="F359" s="244"/>
      <c r="G359" s="181"/>
    </row>
    <row r="360" spans="2:8" ht="78" customHeight="1">
      <c r="B360" s="152"/>
      <c r="C360" s="152"/>
      <c r="D360" s="210"/>
      <c r="F360" s="244"/>
      <c r="G360" s="181"/>
    </row>
    <row r="361" spans="2:8" ht="78" customHeight="1">
      <c r="B361" s="152"/>
      <c r="C361" s="152"/>
      <c r="D361" s="210"/>
      <c r="F361" s="244"/>
      <c r="G361" s="181"/>
    </row>
    <row r="362" spans="2:8" ht="78" customHeight="1">
      <c r="B362" s="152"/>
      <c r="C362" s="152"/>
      <c r="D362" s="210"/>
      <c r="F362" s="244"/>
      <c r="G362" s="181"/>
    </row>
    <row r="363" spans="2:8" ht="78" customHeight="1">
      <c r="B363" s="152"/>
      <c r="C363" s="152"/>
      <c r="D363" s="210"/>
      <c r="F363" s="244"/>
      <c r="G363" s="181"/>
      <c r="H363" s="154"/>
    </row>
    <row r="364" spans="2:8" ht="78" customHeight="1">
      <c r="B364" s="152"/>
      <c r="C364" s="152"/>
      <c r="D364" s="210"/>
      <c r="F364" s="244"/>
      <c r="G364" s="181"/>
    </row>
    <row r="365" spans="2:8" ht="78" customHeight="1">
      <c r="B365" s="152"/>
      <c r="C365" s="152"/>
      <c r="D365" s="210"/>
      <c r="E365" s="166"/>
      <c r="F365" s="179"/>
      <c r="G365" s="181"/>
    </row>
    <row r="366" spans="2:8" ht="78" customHeight="1">
      <c r="B366" s="152"/>
      <c r="C366" s="152"/>
      <c r="D366" s="210"/>
      <c r="E366" s="166"/>
      <c r="F366" s="179"/>
      <c r="G366" s="181"/>
    </row>
    <row r="367" spans="2:8" ht="78" customHeight="1">
      <c r="B367" s="152"/>
      <c r="C367" s="152"/>
      <c r="D367" s="210"/>
      <c r="E367" s="166"/>
      <c r="F367" s="179"/>
      <c r="G367" s="181"/>
    </row>
    <row r="368" spans="2:8" ht="78" customHeight="1">
      <c r="B368" s="152"/>
      <c r="C368" s="152"/>
      <c r="D368" s="210"/>
      <c r="E368" s="166"/>
      <c r="F368" s="222"/>
      <c r="G368" s="181"/>
    </row>
    <row r="369" spans="2:8" ht="78" customHeight="1">
      <c r="B369" s="152"/>
      <c r="C369" s="152"/>
      <c r="D369" s="210"/>
      <c r="E369" s="166"/>
      <c r="F369" s="222"/>
      <c r="G369" s="181"/>
    </row>
    <row r="370" spans="2:8" ht="78" customHeight="1">
      <c r="B370" s="152"/>
      <c r="C370" s="152"/>
      <c r="D370" s="210"/>
      <c r="F370" s="163"/>
      <c r="G370" s="161"/>
      <c r="H370" s="236"/>
    </row>
    <row r="371" spans="2:8" ht="78" customHeight="1">
      <c r="B371" s="152"/>
      <c r="C371" s="152"/>
      <c r="D371" s="210"/>
      <c r="F371" s="218"/>
      <c r="G371" s="161"/>
      <c r="H371" s="259"/>
    </row>
    <row r="372" spans="2:8" ht="78" customHeight="1">
      <c r="B372" s="152"/>
      <c r="C372" s="152"/>
      <c r="D372" s="210"/>
      <c r="E372" s="166"/>
      <c r="F372" s="179"/>
      <c r="G372" s="161"/>
    </row>
    <row r="373" spans="2:8" ht="78" customHeight="1">
      <c r="B373" s="152"/>
      <c r="C373" s="152"/>
      <c r="D373" s="210"/>
      <c r="E373" s="166"/>
      <c r="F373" s="179"/>
      <c r="G373" s="161"/>
    </row>
    <row r="374" spans="2:8" ht="78" customHeight="1">
      <c r="B374" s="152"/>
      <c r="C374" s="152"/>
      <c r="D374" s="210"/>
      <c r="E374" s="166"/>
      <c r="F374" s="179"/>
      <c r="G374" s="161"/>
    </row>
    <row r="375" spans="2:8" ht="78" customHeight="1">
      <c r="B375" s="152"/>
      <c r="C375" s="152"/>
      <c r="D375" s="210"/>
      <c r="F375" s="244"/>
      <c r="G375" s="181"/>
    </row>
    <row r="376" spans="2:8" ht="78" customHeight="1">
      <c r="B376" s="152"/>
      <c r="C376" s="152"/>
      <c r="D376" s="210"/>
      <c r="F376" s="244"/>
      <c r="G376" s="161"/>
      <c r="H376" s="154"/>
    </row>
    <row r="377" spans="2:8" ht="78" customHeight="1">
      <c r="B377" s="152"/>
      <c r="C377" s="152"/>
      <c r="D377" s="210"/>
      <c r="F377" s="244"/>
      <c r="G377" s="181"/>
    </row>
    <row r="378" spans="2:8" ht="78" customHeight="1">
      <c r="B378" s="152"/>
      <c r="C378" s="152"/>
      <c r="D378" s="210"/>
      <c r="F378" s="244"/>
      <c r="G378" s="161"/>
    </row>
    <row r="379" spans="2:8" ht="78" customHeight="1">
      <c r="B379" s="152"/>
      <c r="C379" s="152"/>
      <c r="D379" s="210"/>
      <c r="F379" s="244"/>
      <c r="G379" s="161"/>
    </row>
    <row r="380" spans="2:8" ht="78" customHeight="1">
      <c r="B380" s="152"/>
      <c r="C380" s="152"/>
      <c r="D380" s="210"/>
      <c r="F380" s="244"/>
      <c r="G380" s="161"/>
      <c r="H380" s="154"/>
    </row>
    <row r="381" spans="2:8" ht="78" customHeight="1">
      <c r="B381" s="152"/>
      <c r="C381" s="152"/>
      <c r="D381" s="210"/>
      <c r="E381" s="166"/>
      <c r="F381" s="179"/>
      <c r="G381" s="161"/>
    </row>
    <row r="382" spans="2:8" ht="78" customHeight="1">
      <c r="B382" s="152"/>
      <c r="C382" s="152"/>
      <c r="D382" s="210"/>
      <c r="E382" s="166"/>
      <c r="F382" s="179"/>
      <c r="G382" s="161"/>
    </row>
    <row r="383" spans="2:8" ht="78" customHeight="1">
      <c r="B383" s="152"/>
      <c r="C383" s="152"/>
      <c r="D383" s="210"/>
      <c r="E383" s="166"/>
      <c r="F383" s="179"/>
      <c r="G383" s="161"/>
    </row>
    <row r="384" spans="2:8" ht="78" customHeight="1">
      <c r="B384" s="152"/>
      <c r="C384" s="152"/>
      <c r="D384" s="210"/>
      <c r="F384" s="244"/>
      <c r="G384" s="161"/>
    </row>
    <row r="385" spans="2:8" ht="78" customHeight="1">
      <c r="B385" s="152"/>
      <c r="C385" s="152"/>
      <c r="D385" s="210"/>
      <c r="F385" s="244"/>
      <c r="G385" s="161"/>
    </row>
    <row r="386" spans="2:8" ht="78" customHeight="1">
      <c r="B386" s="152"/>
      <c r="C386" s="152"/>
      <c r="D386" s="210"/>
      <c r="F386" s="244"/>
      <c r="G386" s="161"/>
    </row>
    <row r="387" spans="2:8" ht="78" customHeight="1">
      <c r="B387" s="152"/>
      <c r="C387" s="152"/>
      <c r="D387" s="210"/>
      <c r="F387" s="244"/>
      <c r="G387" s="161"/>
    </row>
    <row r="388" spans="2:8" ht="78" customHeight="1">
      <c r="B388" s="152"/>
      <c r="C388" s="152"/>
      <c r="D388" s="210"/>
      <c r="F388" s="244"/>
      <c r="G388" s="161"/>
    </row>
    <row r="389" spans="2:8" ht="78" customHeight="1">
      <c r="B389" s="152"/>
      <c r="C389" s="152"/>
      <c r="D389" s="210"/>
      <c r="E389" s="166"/>
      <c r="F389" s="179"/>
      <c r="G389" s="161"/>
    </row>
    <row r="390" spans="2:8" ht="78" customHeight="1">
      <c r="B390" s="152"/>
      <c r="C390" s="152"/>
      <c r="D390" s="210"/>
      <c r="E390" s="166"/>
      <c r="F390" s="179"/>
      <c r="G390" s="181"/>
    </row>
    <row r="391" spans="2:8" ht="78" customHeight="1">
      <c r="B391" s="152"/>
      <c r="C391" s="152"/>
      <c r="D391" s="210"/>
      <c r="F391" s="244"/>
      <c r="G391" s="166"/>
      <c r="H391" s="231"/>
    </row>
    <row r="392" spans="2:8" ht="78" customHeight="1">
      <c r="B392" s="152"/>
      <c r="C392" s="152"/>
      <c r="D392" s="210"/>
      <c r="F392" s="244"/>
      <c r="G392" s="155"/>
      <c r="H392" s="222"/>
    </row>
    <row r="393" spans="2:8" ht="78" customHeight="1">
      <c r="B393" s="152"/>
      <c r="C393" s="152"/>
      <c r="D393" s="210"/>
      <c r="F393" s="244"/>
      <c r="G393" s="166"/>
      <c r="H393" s="247"/>
    </row>
    <row r="394" spans="2:8" ht="78" customHeight="1">
      <c r="B394" s="152"/>
      <c r="C394" s="152"/>
      <c r="D394" s="210"/>
      <c r="F394" s="222"/>
      <c r="G394" s="159"/>
      <c r="H394" s="243"/>
    </row>
    <row r="395" spans="2:8" ht="78" customHeight="1">
      <c r="B395" s="152"/>
      <c r="C395" s="152"/>
      <c r="D395" s="210"/>
      <c r="F395" s="244"/>
      <c r="G395" s="171"/>
    </row>
    <row r="396" spans="2:8" ht="78" customHeight="1">
      <c r="B396" s="152"/>
      <c r="C396" s="152"/>
      <c r="D396" s="210"/>
      <c r="E396" s="155"/>
      <c r="F396" s="244"/>
      <c r="G396" s="181"/>
    </row>
    <row r="397" spans="2:8" ht="78" customHeight="1">
      <c r="B397" s="152"/>
      <c r="C397" s="152"/>
      <c r="D397" s="210"/>
      <c r="E397" s="167"/>
      <c r="F397" s="231"/>
      <c r="G397" s="161"/>
      <c r="H397" s="259"/>
    </row>
    <row r="398" spans="2:8" ht="78" customHeight="1">
      <c r="B398" s="152"/>
      <c r="C398" s="153"/>
      <c r="D398" s="210"/>
      <c r="E398" s="167"/>
      <c r="F398" s="154"/>
      <c r="G398" s="161"/>
      <c r="H398" s="222"/>
    </row>
    <row r="399" spans="2:8" ht="78" customHeight="1">
      <c r="B399" s="152"/>
      <c r="C399" s="152"/>
      <c r="D399" s="256"/>
      <c r="E399" s="159"/>
      <c r="F399" s="300"/>
      <c r="G399" s="161"/>
      <c r="H399" s="224"/>
    </row>
    <row r="400" spans="2:8" ht="78" customHeight="1">
      <c r="B400" s="152"/>
      <c r="C400" s="152"/>
      <c r="D400" s="210"/>
      <c r="E400" s="161"/>
      <c r="F400" s="154"/>
      <c r="G400" s="158"/>
      <c r="H400" s="154"/>
    </row>
    <row r="401" spans="2:8" ht="78" customHeight="1">
      <c r="B401" s="152"/>
      <c r="C401" s="152"/>
      <c r="D401" s="212"/>
      <c r="E401" s="158"/>
      <c r="F401" s="154"/>
      <c r="G401" s="161"/>
      <c r="H401" s="154"/>
    </row>
    <row r="402" spans="2:8" ht="78" customHeight="1">
      <c r="B402" s="152"/>
      <c r="C402" s="153"/>
      <c r="D402" s="261"/>
      <c r="F402" s="154"/>
      <c r="G402" s="161"/>
      <c r="H402" s="154"/>
    </row>
    <row r="403" spans="2:8" ht="78" customHeight="1">
      <c r="B403" s="152"/>
      <c r="C403" s="152"/>
      <c r="D403" s="210"/>
      <c r="E403" s="161"/>
      <c r="F403" s="154"/>
      <c r="G403" s="161"/>
      <c r="H403" s="154"/>
    </row>
    <row r="404" spans="2:8" ht="78" customHeight="1">
      <c r="B404" s="152"/>
      <c r="C404" s="152"/>
      <c r="D404" s="210"/>
      <c r="G404" s="161"/>
    </row>
    <row r="405" spans="2:8" ht="78" customHeight="1">
      <c r="B405" s="152"/>
      <c r="C405" s="152"/>
      <c r="D405" s="210"/>
      <c r="G405" s="161"/>
    </row>
    <row r="406" spans="2:8" ht="78" customHeight="1">
      <c r="B406" s="152"/>
      <c r="C406" s="152"/>
      <c r="D406" s="210"/>
      <c r="G406" s="161"/>
    </row>
    <row r="407" spans="2:8" ht="78" customHeight="1">
      <c r="B407" s="152"/>
      <c r="C407" s="274"/>
      <c r="D407" s="210"/>
      <c r="F407" s="154"/>
      <c r="G407" s="161"/>
    </row>
    <row r="408" spans="2:8" ht="78" customHeight="1">
      <c r="B408" s="152"/>
      <c r="C408" s="152"/>
      <c r="D408" s="210"/>
      <c r="F408" s="154"/>
      <c r="G408" s="161"/>
    </row>
    <row r="409" spans="2:8" ht="78" customHeight="1">
      <c r="B409" s="152"/>
      <c r="C409" s="152"/>
      <c r="D409" s="210"/>
      <c r="F409" s="154"/>
      <c r="G409" s="161"/>
      <c r="H409" s="154"/>
    </row>
    <row r="410" spans="2:8" ht="78" customHeight="1">
      <c r="B410" s="152"/>
      <c r="C410" s="153"/>
      <c r="D410" s="210"/>
      <c r="F410" s="154"/>
      <c r="G410" s="161"/>
    </row>
    <row r="411" spans="2:8" ht="78" customHeight="1">
      <c r="B411" s="152"/>
      <c r="C411" s="152"/>
      <c r="D411" s="210"/>
      <c r="F411" s="154"/>
      <c r="G411" s="161"/>
    </row>
    <row r="412" spans="2:8" ht="78" customHeight="1">
      <c r="B412" s="152"/>
      <c r="C412" s="152"/>
      <c r="D412" s="210"/>
      <c r="F412" s="154"/>
      <c r="G412" s="181"/>
    </row>
    <row r="413" spans="2:8" ht="78" customHeight="1">
      <c r="B413" s="152"/>
      <c r="C413" s="152"/>
      <c r="D413" s="210"/>
      <c r="F413" s="154"/>
      <c r="G413" s="161"/>
      <c r="H413" s="154"/>
    </row>
    <row r="414" spans="2:8" ht="78" customHeight="1">
      <c r="B414" s="152"/>
      <c r="C414" s="152"/>
      <c r="D414" s="210"/>
      <c r="F414" s="154"/>
      <c r="G414" s="181"/>
    </row>
    <row r="415" spans="2:8" ht="78" customHeight="1">
      <c r="B415" s="152"/>
      <c r="C415" s="152"/>
      <c r="D415" s="210"/>
      <c r="F415" s="154"/>
      <c r="G415" s="181"/>
    </row>
    <row r="416" spans="2:8" ht="78" customHeight="1">
      <c r="B416" s="152"/>
      <c r="C416" s="152"/>
      <c r="D416" s="210"/>
      <c r="F416" s="154"/>
      <c r="G416" s="181"/>
    </row>
    <row r="417" spans="2:8" ht="78" customHeight="1">
      <c r="B417" s="152"/>
      <c r="C417" s="275"/>
      <c r="D417" s="210"/>
      <c r="F417" s="154"/>
      <c r="G417" s="181"/>
    </row>
    <row r="418" spans="2:8" ht="78" customHeight="1">
      <c r="B418" s="152"/>
      <c r="C418" s="152"/>
      <c r="D418" s="261"/>
      <c r="F418" s="154"/>
      <c r="G418" s="181"/>
      <c r="H418" s="154"/>
    </row>
    <row r="419" spans="2:8" ht="78" customHeight="1">
      <c r="B419" s="152"/>
      <c r="C419" s="275"/>
      <c r="D419" s="210"/>
      <c r="E419" s="161"/>
      <c r="F419" s="154"/>
      <c r="G419" s="181"/>
    </row>
    <row r="420" spans="2:8" ht="78" customHeight="1">
      <c r="B420" s="152"/>
      <c r="C420" s="152"/>
      <c r="D420" s="256"/>
      <c r="F420" s="154"/>
      <c r="G420" s="181"/>
    </row>
    <row r="421" spans="2:8" ht="78" customHeight="1">
      <c r="B421" s="152"/>
      <c r="C421" s="152"/>
      <c r="D421" s="210"/>
      <c r="E421" s="161"/>
      <c r="F421" s="154"/>
      <c r="G421" s="181"/>
    </row>
    <row r="422" spans="2:8" ht="78" customHeight="1">
      <c r="B422" s="152"/>
      <c r="C422" s="152"/>
      <c r="D422" s="210"/>
      <c r="F422" s="154"/>
      <c r="G422" s="181"/>
    </row>
    <row r="423" spans="2:8" ht="78" customHeight="1">
      <c r="B423" s="152"/>
      <c r="C423" s="275"/>
      <c r="D423" s="210"/>
      <c r="F423" s="154"/>
      <c r="G423" s="181"/>
    </row>
    <row r="424" spans="2:8" ht="78" customHeight="1">
      <c r="B424" s="275"/>
      <c r="C424" s="152"/>
      <c r="D424" s="210"/>
      <c r="F424" s="154"/>
      <c r="G424" s="181"/>
    </row>
    <row r="425" spans="2:8" ht="78" customHeight="1">
      <c r="B425" s="275"/>
      <c r="C425" s="152"/>
      <c r="D425" s="210"/>
      <c r="F425" s="154"/>
      <c r="G425" s="181"/>
      <c r="H425" s="154"/>
    </row>
    <row r="426" spans="2:8" ht="78" customHeight="1">
      <c r="B426" s="275"/>
      <c r="C426" s="275"/>
      <c r="D426" s="210"/>
      <c r="F426" s="154"/>
      <c r="G426" s="181"/>
    </row>
    <row r="427" spans="2:8" ht="78" customHeight="1">
      <c r="B427" s="275"/>
      <c r="C427" s="153"/>
      <c r="D427" s="210"/>
      <c r="F427" s="154"/>
      <c r="G427" s="181"/>
      <c r="H427" s="154"/>
    </row>
    <row r="428" spans="2:8" ht="78" customHeight="1">
      <c r="B428" s="275"/>
      <c r="C428" s="152"/>
      <c r="D428" s="210"/>
      <c r="F428" s="154"/>
      <c r="G428" s="181"/>
    </row>
    <row r="429" spans="2:8" ht="78" customHeight="1">
      <c r="B429" s="275"/>
      <c r="C429" s="152"/>
      <c r="D429" s="210"/>
      <c r="G429" s="181"/>
    </row>
    <row r="430" spans="2:8" ht="78" customHeight="1">
      <c r="B430" s="152"/>
      <c r="C430" s="152"/>
      <c r="D430" s="210"/>
      <c r="F430" s="154"/>
      <c r="G430" s="181"/>
    </row>
    <row r="431" spans="2:8" ht="78" customHeight="1">
      <c r="B431" s="152"/>
      <c r="C431" s="152"/>
      <c r="D431" s="210"/>
      <c r="F431" s="154"/>
      <c r="G431" s="181"/>
    </row>
    <row r="432" spans="2:8" ht="78" customHeight="1">
      <c r="B432" s="152"/>
      <c r="C432" s="153"/>
      <c r="D432" s="216"/>
      <c r="E432" s="155"/>
      <c r="F432" s="154"/>
      <c r="G432" s="181"/>
    </row>
    <row r="433" spans="2:8" ht="78" customHeight="1">
      <c r="B433" s="152"/>
      <c r="C433" s="152"/>
      <c r="D433" s="214"/>
      <c r="E433" s="166"/>
      <c r="F433" s="154"/>
      <c r="G433" s="181"/>
      <c r="H433" s="154"/>
    </row>
    <row r="434" spans="2:8" ht="78" customHeight="1">
      <c r="B434" s="152"/>
      <c r="C434" s="153"/>
      <c r="D434" s="210"/>
      <c r="F434" s="154"/>
      <c r="G434" s="181"/>
    </row>
    <row r="435" spans="2:8" ht="78" customHeight="1">
      <c r="B435" s="152"/>
      <c r="C435" s="153"/>
      <c r="D435" s="210"/>
      <c r="F435" s="154"/>
      <c r="G435" s="181"/>
    </row>
    <row r="436" spans="2:8" ht="78" customHeight="1">
      <c r="B436" s="152"/>
      <c r="C436" s="152"/>
      <c r="D436" s="210"/>
      <c r="F436" s="154"/>
      <c r="G436" s="181"/>
    </row>
    <row r="437" spans="2:8" ht="78" customHeight="1">
      <c r="B437" s="152"/>
      <c r="C437" s="152"/>
      <c r="D437" s="210"/>
      <c r="F437" s="154"/>
      <c r="G437" s="181"/>
    </row>
    <row r="438" spans="2:8" ht="78" customHeight="1">
      <c r="B438" s="152"/>
      <c r="C438" s="153"/>
      <c r="D438" s="210"/>
      <c r="F438" s="154"/>
      <c r="G438" s="181"/>
    </row>
    <row r="439" spans="2:8" ht="78" customHeight="1">
      <c r="B439" s="153"/>
      <c r="C439" s="152"/>
      <c r="D439" s="210"/>
      <c r="F439" s="154"/>
      <c r="G439" s="181"/>
    </row>
    <row r="440" spans="2:8" ht="78" customHeight="1">
      <c r="B440" s="153"/>
      <c r="C440" s="152"/>
      <c r="D440" s="210"/>
      <c r="F440" s="154"/>
      <c r="G440" s="181"/>
    </row>
    <row r="441" spans="2:8" ht="78" customHeight="1">
      <c r="B441" s="153"/>
      <c r="C441" s="152"/>
      <c r="D441" s="210"/>
      <c r="F441" s="154"/>
      <c r="G441" s="181"/>
    </row>
    <row r="442" spans="2:8" ht="78" customHeight="1">
      <c r="B442" s="153"/>
      <c r="C442" s="152"/>
      <c r="D442" s="210"/>
      <c r="F442" s="154"/>
      <c r="G442" s="181"/>
    </row>
    <row r="443" spans="2:8" ht="78" customHeight="1">
      <c r="B443" s="153"/>
      <c r="C443" s="152"/>
      <c r="D443" s="210"/>
      <c r="F443" s="154"/>
      <c r="G443" s="181"/>
      <c r="H443" s="154"/>
    </row>
    <row r="444" spans="2:8" ht="78" customHeight="1">
      <c r="B444" s="152"/>
      <c r="C444" s="152"/>
      <c r="D444" s="210"/>
      <c r="F444" s="154"/>
      <c r="G444" s="181"/>
      <c r="H444" s="154"/>
    </row>
    <row r="445" spans="2:8" ht="78" customHeight="1">
      <c r="B445" s="152"/>
      <c r="C445" s="152"/>
      <c r="D445" s="210"/>
      <c r="F445" s="154"/>
      <c r="G445" s="181"/>
      <c r="H445" s="154"/>
    </row>
    <row r="446" spans="2:8" ht="78" customHeight="1">
      <c r="B446" s="152"/>
      <c r="C446" s="152"/>
      <c r="D446" s="210"/>
      <c r="F446" s="154"/>
      <c r="G446" s="181"/>
      <c r="H446" s="154"/>
    </row>
    <row r="447" spans="2:8" ht="78" customHeight="1">
      <c r="B447" s="152"/>
      <c r="C447" s="152"/>
      <c r="D447" s="210"/>
      <c r="F447" s="154"/>
      <c r="G447" s="181"/>
    </row>
    <row r="448" spans="2:8" ht="78" customHeight="1">
      <c r="B448" s="152"/>
      <c r="C448" s="152"/>
      <c r="D448" s="261"/>
      <c r="G448" s="181"/>
    </row>
    <row r="449" spans="2:8" ht="78" customHeight="1">
      <c r="B449" s="152"/>
      <c r="C449" s="152"/>
      <c r="D449" s="210"/>
      <c r="E449" s="161"/>
      <c r="F449" s="200"/>
      <c r="G449" s="181"/>
    </row>
    <row r="450" spans="2:8" ht="78" customHeight="1">
      <c r="B450" s="152"/>
      <c r="C450" s="152"/>
      <c r="D450" s="210"/>
      <c r="E450" s="166"/>
      <c r="F450" s="179"/>
      <c r="G450" s="161"/>
    </row>
    <row r="451" spans="2:8" ht="78" customHeight="1">
      <c r="B451" s="152"/>
      <c r="C451" s="152"/>
      <c r="D451" s="210"/>
      <c r="E451" s="166"/>
      <c r="F451" s="179"/>
      <c r="G451" s="161"/>
    </row>
    <row r="452" spans="2:8" ht="78" customHeight="1">
      <c r="B452" s="152"/>
      <c r="C452" s="152"/>
      <c r="D452" s="210"/>
      <c r="E452" s="166"/>
      <c r="F452" s="179"/>
      <c r="G452" s="161"/>
    </row>
    <row r="453" spans="2:8" ht="78" customHeight="1">
      <c r="B453" s="152"/>
      <c r="C453" s="152"/>
      <c r="D453" s="256"/>
      <c r="E453" s="155"/>
      <c r="F453" s="222"/>
      <c r="G453" s="161"/>
    </row>
    <row r="454" spans="2:8" ht="78" customHeight="1">
      <c r="B454" s="152"/>
      <c r="C454" s="269"/>
      <c r="D454" s="276"/>
      <c r="E454" s="166"/>
      <c r="F454" s="220"/>
      <c r="G454" s="161"/>
    </row>
    <row r="455" spans="2:8" ht="78" customHeight="1">
      <c r="B455" s="152"/>
      <c r="C455" s="152"/>
      <c r="D455" s="210"/>
      <c r="E455" s="166"/>
      <c r="F455" s="179"/>
      <c r="G455" s="161"/>
    </row>
    <row r="456" spans="2:8" ht="78" customHeight="1">
      <c r="B456" s="152"/>
      <c r="C456" s="152"/>
      <c r="D456" s="210"/>
      <c r="E456" s="166"/>
      <c r="F456" s="179"/>
      <c r="G456" s="161"/>
    </row>
    <row r="457" spans="2:8" ht="78" customHeight="1">
      <c r="B457" s="152"/>
      <c r="C457" s="152"/>
      <c r="D457" s="210"/>
      <c r="F457" s="154"/>
      <c r="G457" s="181"/>
    </row>
    <row r="458" spans="2:8" ht="78" customHeight="1">
      <c r="B458" s="152"/>
      <c r="C458" s="152"/>
      <c r="D458" s="210"/>
      <c r="F458" s="154"/>
      <c r="G458" s="181"/>
      <c r="H458" s="154"/>
    </row>
    <row r="459" spans="2:8" ht="78" customHeight="1">
      <c r="B459" s="152"/>
      <c r="C459" s="152"/>
      <c r="D459" s="210"/>
      <c r="E459" s="159"/>
      <c r="G459" s="161"/>
      <c r="H459" s="154"/>
    </row>
    <row r="460" spans="2:8" ht="78" customHeight="1">
      <c r="B460" s="152"/>
      <c r="C460" s="152"/>
      <c r="D460" s="210"/>
      <c r="E460" s="155"/>
      <c r="F460" s="154"/>
      <c r="G460" s="181"/>
    </row>
    <row r="461" spans="2:8" ht="78" customHeight="1">
      <c r="B461" s="152"/>
      <c r="C461" s="152"/>
      <c r="D461" s="210"/>
      <c r="E461" s="155"/>
      <c r="F461" s="244"/>
      <c r="G461" s="161"/>
    </row>
    <row r="462" spans="2:8" ht="78" customHeight="1">
      <c r="B462" s="152"/>
      <c r="C462" s="152"/>
      <c r="D462" s="210"/>
      <c r="E462" s="155"/>
      <c r="F462" s="244"/>
      <c r="G462" s="181"/>
    </row>
    <row r="463" spans="2:8" ht="78" customHeight="1">
      <c r="B463" s="152"/>
      <c r="C463" s="153"/>
      <c r="D463" s="210"/>
      <c r="F463" s="154"/>
      <c r="G463" s="181"/>
      <c r="H463" s="154"/>
    </row>
    <row r="464" spans="2:8" ht="78" customHeight="1">
      <c r="B464" s="152"/>
      <c r="C464" s="152"/>
      <c r="D464" s="256"/>
      <c r="E464" s="155"/>
      <c r="F464" s="222"/>
      <c r="G464" s="161"/>
    </row>
    <row r="465" spans="2:8" ht="78" customHeight="1">
      <c r="B465" s="152"/>
      <c r="C465" s="152"/>
      <c r="D465" s="256"/>
      <c r="E465" s="155"/>
      <c r="F465" s="222"/>
      <c r="G465" s="161"/>
    </row>
    <row r="466" spans="2:8" ht="78" customHeight="1">
      <c r="B466" s="152"/>
      <c r="C466" s="153"/>
      <c r="D466" s="210"/>
      <c r="G466" s="161"/>
    </row>
    <row r="467" spans="2:8" ht="78" customHeight="1">
      <c r="B467" s="152"/>
      <c r="C467" s="152"/>
      <c r="D467" s="210"/>
      <c r="F467" s="154"/>
      <c r="G467" s="161"/>
      <c r="H467" s="154"/>
    </row>
    <row r="468" spans="2:8" ht="78" customHeight="1">
      <c r="B468" s="152"/>
      <c r="C468" s="152"/>
      <c r="D468" s="256"/>
      <c r="E468" s="166"/>
      <c r="F468" s="222"/>
      <c r="G468" s="161"/>
    </row>
    <row r="469" spans="2:8" ht="78" customHeight="1">
      <c r="B469" s="152"/>
      <c r="C469" s="254"/>
      <c r="D469" s="210"/>
      <c r="E469" s="166"/>
      <c r="F469" s="222"/>
      <c r="G469" s="161"/>
    </row>
    <row r="470" spans="2:8" ht="78" customHeight="1">
      <c r="B470" s="152"/>
      <c r="C470" s="152"/>
      <c r="D470" s="210"/>
      <c r="F470" s="154"/>
      <c r="G470" s="161"/>
    </row>
    <row r="471" spans="2:8" ht="78" customHeight="1">
      <c r="B471" s="152"/>
      <c r="C471" s="153"/>
      <c r="D471" s="210"/>
      <c r="G471" s="161"/>
    </row>
    <row r="472" spans="2:8" ht="78" customHeight="1">
      <c r="B472" s="152"/>
      <c r="C472" s="153"/>
      <c r="D472" s="210"/>
      <c r="G472" s="161"/>
    </row>
    <row r="473" spans="2:8" ht="78" customHeight="1">
      <c r="B473" s="152"/>
      <c r="C473" s="153"/>
      <c r="D473" s="210"/>
      <c r="F473" s="154"/>
      <c r="G473" s="161"/>
      <c r="H473" s="154"/>
    </row>
    <row r="474" spans="2:8" ht="78" customHeight="1">
      <c r="B474" s="152"/>
      <c r="C474" s="152"/>
      <c r="D474" s="210"/>
      <c r="G474" s="161"/>
      <c r="H474" s="154"/>
    </row>
    <row r="475" spans="2:8" ht="78" customHeight="1">
      <c r="B475" s="152"/>
      <c r="C475" s="152"/>
      <c r="D475" s="210"/>
      <c r="G475" s="161"/>
      <c r="H475" s="154"/>
    </row>
    <row r="476" spans="2:8" ht="78" customHeight="1">
      <c r="B476" s="152"/>
      <c r="C476" s="152"/>
      <c r="D476" s="210"/>
      <c r="F476" s="154"/>
      <c r="G476" s="161"/>
    </row>
    <row r="477" spans="2:8" ht="78" customHeight="1">
      <c r="B477" s="152"/>
      <c r="C477" s="152"/>
      <c r="D477" s="210"/>
      <c r="F477" s="154"/>
      <c r="G477" s="161"/>
    </row>
    <row r="478" spans="2:8" ht="78" customHeight="1">
      <c r="B478" s="152"/>
      <c r="C478" s="153"/>
      <c r="D478" s="210"/>
      <c r="F478" s="154"/>
      <c r="G478" s="161"/>
    </row>
    <row r="479" spans="2:8" ht="78" customHeight="1">
      <c r="B479" s="152"/>
      <c r="C479" s="152"/>
      <c r="D479" s="210"/>
      <c r="E479" s="155"/>
      <c r="F479" s="244"/>
      <c r="G479" s="161"/>
    </row>
    <row r="480" spans="2:8" ht="78" customHeight="1">
      <c r="B480" s="152"/>
      <c r="C480" s="152"/>
      <c r="D480" s="210"/>
      <c r="E480" s="166"/>
      <c r="F480" s="222"/>
      <c r="G480" s="161"/>
    </row>
    <row r="481" spans="2:8" ht="78" customHeight="1">
      <c r="B481" s="152"/>
      <c r="C481" s="152"/>
      <c r="D481" s="210"/>
      <c r="E481" s="166"/>
      <c r="F481" s="222"/>
      <c r="G481" s="161"/>
    </row>
    <row r="482" spans="2:8" ht="78" customHeight="1">
      <c r="B482" s="152"/>
      <c r="C482" s="152"/>
      <c r="D482" s="210"/>
      <c r="E482" s="166"/>
      <c r="F482" s="222"/>
      <c r="G482" s="161"/>
    </row>
    <row r="483" spans="2:8" ht="78" customHeight="1">
      <c r="B483" s="152"/>
      <c r="C483" s="152"/>
      <c r="D483" s="210"/>
      <c r="E483" s="166"/>
      <c r="F483" s="222"/>
      <c r="G483" s="161"/>
    </row>
    <row r="484" spans="2:8" ht="78" customHeight="1">
      <c r="B484" s="152"/>
      <c r="C484" s="152"/>
      <c r="D484" s="210"/>
      <c r="E484" s="166"/>
      <c r="F484" s="222"/>
      <c r="G484" s="161"/>
    </row>
    <row r="485" spans="2:8" ht="78" customHeight="1">
      <c r="B485" s="152"/>
      <c r="C485" s="152"/>
      <c r="D485" s="210"/>
      <c r="E485" s="166"/>
      <c r="F485" s="222"/>
      <c r="G485" s="161"/>
    </row>
    <row r="486" spans="2:8" ht="78" customHeight="1">
      <c r="B486" s="152"/>
      <c r="C486" s="152"/>
      <c r="D486" s="210"/>
      <c r="G486" s="161"/>
      <c r="H486" s="154"/>
    </row>
    <row r="487" spans="2:8" ht="78" customHeight="1">
      <c r="B487" s="152"/>
      <c r="C487" s="152"/>
      <c r="D487" s="210"/>
      <c r="F487" s="154"/>
      <c r="G487" s="161"/>
    </row>
    <row r="488" spans="2:8" ht="78" customHeight="1">
      <c r="B488" s="152"/>
      <c r="C488" s="152"/>
      <c r="D488" s="210"/>
      <c r="G488" s="161"/>
      <c r="H488" s="154"/>
    </row>
    <row r="489" spans="2:8" ht="78" customHeight="1">
      <c r="B489" s="152"/>
      <c r="C489" s="152"/>
      <c r="D489" s="210"/>
      <c r="E489" s="166"/>
      <c r="F489" s="222"/>
      <c r="G489" s="161"/>
    </row>
    <row r="490" spans="2:8" ht="78" customHeight="1">
      <c r="B490" s="152"/>
      <c r="C490" s="152"/>
      <c r="D490" s="210"/>
      <c r="F490" s="154"/>
      <c r="G490" s="161"/>
      <c r="H490" s="154"/>
    </row>
    <row r="491" spans="2:8" ht="78" customHeight="1">
      <c r="B491" s="152"/>
      <c r="C491" s="152"/>
      <c r="D491" s="210"/>
      <c r="F491" s="154"/>
      <c r="G491" s="161"/>
    </row>
    <row r="492" spans="2:8" ht="78" customHeight="1">
      <c r="B492" s="152"/>
      <c r="C492" s="152"/>
      <c r="D492" s="210"/>
      <c r="E492" s="166"/>
      <c r="F492" s="222"/>
      <c r="G492" s="161"/>
    </row>
    <row r="493" spans="2:8" ht="78" customHeight="1">
      <c r="B493" s="152"/>
      <c r="C493" s="152"/>
      <c r="D493" s="210"/>
      <c r="E493" s="166"/>
      <c r="F493" s="222"/>
      <c r="G493" s="161"/>
    </row>
    <row r="494" spans="2:8" ht="78" customHeight="1">
      <c r="B494" s="152"/>
      <c r="C494" s="152"/>
      <c r="D494" s="210"/>
      <c r="E494" s="166"/>
      <c r="F494" s="244"/>
      <c r="G494" s="161"/>
      <c r="H494" s="154"/>
    </row>
    <row r="495" spans="2:8" ht="78" customHeight="1">
      <c r="B495" s="152"/>
      <c r="C495" s="152"/>
      <c r="D495" s="210"/>
      <c r="F495" s="154"/>
      <c r="G495" s="161"/>
    </row>
    <row r="496" spans="2:8" ht="78" customHeight="1">
      <c r="B496" s="152"/>
      <c r="C496" s="153"/>
      <c r="D496" s="210"/>
      <c r="F496" s="154"/>
      <c r="G496" s="161"/>
      <c r="H496" s="154"/>
    </row>
    <row r="497" spans="1:8" ht="78" customHeight="1">
      <c r="B497" s="152"/>
      <c r="C497" s="152"/>
      <c r="D497" s="210"/>
      <c r="E497" s="169"/>
      <c r="F497" s="163"/>
      <c r="G497" s="161"/>
      <c r="H497" s="236"/>
    </row>
    <row r="498" spans="1:8" ht="78" customHeight="1">
      <c r="B498" s="152"/>
      <c r="C498" s="152"/>
      <c r="D498" s="261"/>
      <c r="E498" s="164"/>
      <c r="F498" s="277"/>
      <c r="G498" s="158"/>
    </row>
    <row r="499" spans="1:8" ht="78" customHeight="1">
      <c r="B499" s="152"/>
      <c r="C499" s="152"/>
      <c r="D499" s="210"/>
      <c r="E499" s="158"/>
      <c r="G499" s="161"/>
    </row>
    <row r="500" spans="1:8" ht="78" customHeight="1">
      <c r="B500" s="152"/>
      <c r="C500" s="152"/>
      <c r="D500" s="210"/>
      <c r="E500" s="158"/>
      <c r="F500" s="154"/>
      <c r="G500" s="161"/>
    </row>
    <row r="501" spans="1:8" ht="78" customHeight="1">
      <c r="B501" s="152"/>
      <c r="C501" s="153"/>
      <c r="D501" s="256"/>
      <c r="F501" s="154"/>
      <c r="G501" s="161"/>
    </row>
    <row r="502" spans="1:8" ht="78" customHeight="1">
      <c r="B502" s="152"/>
      <c r="C502" s="227"/>
      <c r="D502" s="256"/>
      <c r="E502" s="181"/>
      <c r="G502" s="161"/>
      <c r="H502" s="154"/>
    </row>
    <row r="503" spans="1:8" ht="78" customHeight="1">
      <c r="B503" s="152"/>
      <c r="C503" s="254"/>
      <c r="D503" s="210"/>
      <c r="E503" s="161"/>
      <c r="F503" s="154"/>
      <c r="G503" s="161"/>
    </row>
    <row r="504" spans="1:8" ht="78" customHeight="1">
      <c r="B504" s="152"/>
      <c r="C504" s="228"/>
      <c r="D504" s="212"/>
      <c r="E504" s="158"/>
      <c r="F504" s="154"/>
      <c r="G504" s="161"/>
      <c r="H504" s="154"/>
    </row>
    <row r="505" spans="1:8" ht="78" customHeight="1">
      <c r="B505" s="152"/>
      <c r="C505" s="254"/>
      <c r="D505" s="210"/>
      <c r="E505" s="161"/>
      <c r="G505" s="161"/>
      <c r="H505" s="154"/>
    </row>
    <row r="506" spans="1:8" ht="78" customHeight="1">
      <c r="B506" s="152"/>
      <c r="C506" s="227"/>
      <c r="D506" s="256"/>
      <c r="E506" s="181"/>
      <c r="G506" s="161"/>
      <c r="H506" s="154"/>
    </row>
    <row r="507" spans="1:8" ht="78" customHeight="1">
      <c r="B507" s="152"/>
      <c r="C507" s="228"/>
      <c r="D507" s="210"/>
      <c r="E507" s="158"/>
      <c r="F507" s="154"/>
      <c r="G507" s="161"/>
      <c r="H507" s="154"/>
    </row>
    <row r="508" spans="1:8" ht="78" customHeight="1">
      <c r="B508" s="152"/>
      <c r="C508" s="152"/>
      <c r="D508" s="210"/>
      <c r="E508" s="161"/>
      <c r="F508" s="154"/>
      <c r="G508" s="161"/>
    </row>
    <row r="509" spans="1:8" ht="78" customHeight="1">
      <c r="B509" s="152"/>
      <c r="C509" s="152"/>
      <c r="D509" s="212"/>
      <c r="F509" s="154"/>
      <c r="G509" s="161"/>
    </row>
    <row r="510" spans="1:8" ht="78" customHeight="1">
      <c r="A510" s="302"/>
      <c r="B510" s="152"/>
      <c r="C510" s="153"/>
      <c r="D510" s="210"/>
      <c r="F510" s="154"/>
      <c r="G510" s="161"/>
      <c r="H510" s="154"/>
    </row>
    <row r="511" spans="1:8" ht="78" customHeight="1">
      <c r="A511" s="302"/>
      <c r="B511" s="152"/>
      <c r="C511" s="152"/>
      <c r="D511" s="210"/>
      <c r="F511" s="154"/>
      <c r="G511" s="161"/>
    </row>
    <row r="512" spans="1:8" ht="78" customHeight="1">
      <c r="A512" s="302"/>
      <c r="B512" s="152"/>
      <c r="C512" s="152"/>
      <c r="D512" s="210"/>
      <c r="F512" s="154"/>
      <c r="G512" s="161"/>
    </row>
    <row r="513" spans="1:8" ht="78" customHeight="1">
      <c r="A513" s="302"/>
      <c r="B513" s="152"/>
      <c r="C513" s="152"/>
      <c r="D513" s="210"/>
      <c r="F513" s="154"/>
      <c r="G513" s="161"/>
    </row>
    <row r="514" spans="1:8" ht="78" customHeight="1">
      <c r="A514" s="302"/>
      <c r="B514" s="152"/>
      <c r="C514" s="152"/>
      <c r="D514" s="210"/>
      <c r="F514" s="154"/>
      <c r="G514" s="161"/>
    </row>
    <row r="515" spans="1:8" ht="78" customHeight="1">
      <c r="A515" s="302"/>
      <c r="B515" s="152"/>
      <c r="C515" s="152"/>
      <c r="D515" s="210"/>
      <c r="F515" s="154"/>
      <c r="G515" s="161"/>
    </row>
    <row r="516" spans="1:8" ht="78" customHeight="1">
      <c r="A516" s="302"/>
      <c r="B516" s="152"/>
      <c r="C516" s="153"/>
      <c r="D516" s="256"/>
      <c r="F516" s="154"/>
    </row>
    <row r="517" spans="1:8" ht="78" customHeight="1">
      <c r="A517" s="302"/>
      <c r="B517" s="152"/>
      <c r="C517" s="152"/>
      <c r="D517" s="210"/>
      <c r="E517" s="161"/>
      <c r="F517" s="278"/>
      <c r="H517" s="154"/>
    </row>
    <row r="518" spans="1:8" ht="78" customHeight="1">
      <c r="A518" s="302"/>
      <c r="B518" s="152"/>
      <c r="C518" s="152"/>
      <c r="D518" s="210"/>
      <c r="F518" s="154"/>
      <c r="H518" s="154"/>
    </row>
    <row r="519" spans="1:8" ht="78" customHeight="1">
      <c r="A519" s="302"/>
      <c r="B519" s="152"/>
      <c r="C519" s="152"/>
      <c r="D519" s="210"/>
      <c r="F519" s="154"/>
    </row>
    <row r="520" spans="1:8" ht="78" customHeight="1">
      <c r="A520" s="302"/>
      <c r="B520" s="152"/>
      <c r="C520" s="153"/>
      <c r="D520" s="210"/>
      <c r="F520" s="154"/>
    </row>
    <row r="521" spans="1:8" ht="78" customHeight="1">
      <c r="A521" s="302"/>
      <c r="B521" s="152"/>
      <c r="C521" s="153"/>
      <c r="D521" s="212"/>
      <c r="F521" s="154"/>
      <c r="H521" s="154"/>
    </row>
    <row r="522" spans="1:8" ht="78" customHeight="1">
      <c r="A522" s="302"/>
      <c r="B522" s="152"/>
      <c r="C522" s="152"/>
      <c r="D522" s="212"/>
      <c r="F522" s="154"/>
      <c r="H522" s="154"/>
    </row>
    <row r="523" spans="1:8" ht="78" customHeight="1">
      <c r="A523" s="302"/>
      <c r="B523" s="152"/>
      <c r="C523" s="152"/>
      <c r="D523" s="212"/>
      <c r="F523" s="154"/>
      <c r="H523" s="154"/>
    </row>
    <row r="524" spans="1:8" ht="78" customHeight="1">
      <c r="A524" s="302"/>
      <c r="B524" s="152"/>
      <c r="C524" s="152"/>
      <c r="D524" s="210"/>
      <c r="H524" s="154"/>
    </row>
    <row r="525" spans="1:8" ht="78" customHeight="1">
      <c r="B525" s="152"/>
      <c r="C525" s="152"/>
      <c r="D525" s="210"/>
      <c r="F525" s="154"/>
    </row>
    <row r="526" spans="1:8" ht="78" customHeight="1">
      <c r="B526" s="152"/>
      <c r="C526" s="153"/>
      <c r="D526" s="210"/>
    </row>
    <row r="527" spans="1:8" ht="78" customHeight="1">
      <c r="B527" s="152"/>
      <c r="C527" s="153"/>
      <c r="D527" s="210"/>
      <c r="F527" s="154"/>
    </row>
    <row r="528" spans="1:8" ht="78" customHeight="1">
      <c r="B528" s="152"/>
      <c r="C528" s="153"/>
      <c r="D528" s="210"/>
      <c r="F528" s="154"/>
    </row>
    <row r="529" spans="2:8" ht="78" customHeight="1">
      <c r="B529" s="152"/>
      <c r="C529" s="153"/>
      <c r="D529" s="210"/>
      <c r="F529" s="154"/>
    </row>
    <row r="530" spans="2:8" ht="78" customHeight="1">
      <c r="B530" s="152"/>
      <c r="C530" s="152"/>
      <c r="D530" s="210"/>
      <c r="H530" s="154"/>
    </row>
    <row r="531" spans="2:8" ht="78" customHeight="1">
      <c r="B531" s="152"/>
      <c r="C531" s="153"/>
      <c r="D531" s="261"/>
      <c r="F531" s="154"/>
      <c r="H531" s="154"/>
    </row>
    <row r="532" spans="2:8" ht="78" customHeight="1">
      <c r="B532" s="152"/>
      <c r="C532" s="275"/>
      <c r="D532" s="210"/>
      <c r="E532" s="161"/>
      <c r="F532" s="154"/>
      <c r="H532" s="154"/>
    </row>
    <row r="533" spans="2:8" ht="78" customHeight="1">
      <c r="B533" s="152"/>
      <c r="C533" s="152"/>
      <c r="D533" s="212"/>
      <c r="E533" s="161"/>
      <c r="F533" s="154"/>
      <c r="H533" s="154"/>
    </row>
    <row r="534" spans="2:8" ht="78" customHeight="1">
      <c r="B534" s="152"/>
      <c r="C534" s="152"/>
      <c r="D534" s="210"/>
      <c r="E534" s="166"/>
      <c r="F534" s="222"/>
      <c r="G534" s="161"/>
    </row>
    <row r="535" spans="2:8" ht="78" customHeight="1">
      <c r="B535" s="152"/>
      <c r="C535" s="152"/>
      <c r="D535" s="210"/>
      <c r="E535" s="166"/>
      <c r="F535" s="222"/>
      <c r="G535" s="161"/>
      <c r="H535" s="154"/>
    </row>
    <row r="536" spans="2:8" ht="78" customHeight="1">
      <c r="B536" s="152"/>
      <c r="C536" s="152"/>
      <c r="D536" s="210"/>
      <c r="E536" s="166"/>
      <c r="F536" s="222"/>
      <c r="G536" s="161"/>
    </row>
    <row r="537" spans="2:8" ht="78" customHeight="1">
      <c r="B537" s="152"/>
      <c r="C537" s="152"/>
      <c r="D537" s="210"/>
      <c r="E537" s="166"/>
      <c r="F537" s="222"/>
      <c r="G537" s="161"/>
    </row>
    <row r="538" spans="2:8" ht="78" customHeight="1">
      <c r="B538" s="152"/>
      <c r="C538" s="153"/>
      <c r="D538" s="210"/>
      <c r="F538" s="154"/>
      <c r="G538" s="161"/>
    </row>
    <row r="539" spans="2:8" ht="78" customHeight="1">
      <c r="B539" s="152"/>
      <c r="C539" s="152"/>
      <c r="D539" s="210"/>
      <c r="E539" s="166"/>
      <c r="F539" s="222"/>
      <c r="G539" s="161"/>
    </row>
    <row r="540" spans="2:8" ht="78" customHeight="1">
      <c r="B540" s="152"/>
      <c r="C540" s="152"/>
      <c r="D540" s="210"/>
      <c r="E540" s="166"/>
      <c r="F540" s="222"/>
      <c r="G540" s="161"/>
    </row>
    <row r="541" spans="2:8" ht="78" customHeight="1">
      <c r="B541" s="152"/>
      <c r="C541" s="152"/>
      <c r="D541" s="210"/>
      <c r="G541" s="161"/>
    </row>
    <row r="542" spans="2:8" ht="78" customHeight="1">
      <c r="B542" s="152"/>
      <c r="C542" s="152"/>
      <c r="D542" s="210"/>
      <c r="G542" s="161"/>
      <c r="H542" s="154"/>
    </row>
    <row r="543" spans="2:8" ht="78" customHeight="1">
      <c r="B543" s="152"/>
      <c r="C543" s="152"/>
      <c r="D543" s="210"/>
      <c r="E543" s="166"/>
      <c r="F543" s="222"/>
      <c r="G543" s="161"/>
    </row>
    <row r="544" spans="2:8" ht="78" customHeight="1">
      <c r="B544" s="152"/>
      <c r="C544" s="152"/>
      <c r="D544" s="210"/>
      <c r="E544" s="166"/>
      <c r="F544" s="222"/>
      <c r="G544" s="161"/>
    </row>
    <row r="545" spans="2:8" ht="78" customHeight="1">
      <c r="B545" s="152"/>
      <c r="C545" s="153"/>
      <c r="D545" s="210"/>
      <c r="F545" s="154"/>
      <c r="G545" s="161"/>
    </row>
    <row r="546" spans="2:8" ht="78" customHeight="1">
      <c r="B546" s="152"/>
      <c r="C546" s="152"/>
      <c r="D546" s="212"/>
      <c r="F546" s="154"/>
      <c r="G546" s="161"/>
      <c r="H546" s="154"/>
    </row>
    <row r="547" spans="2:8" ht="78" customHeight="1">
      <c r="B547" s="152"/>
      <c r="C547" s="152"/>
      <c r="D547" s="210"/>
      <c r="G547" s="161"/>
    </row>
    <row r="548" spans="2:8" ht="78" customHeight="1">
      <c r="B548" s="152"/>
      <c r="C548" s="152"/>
      <c r="D548" s="210"/>
      <c r="E548" s="166"/>
      <c r="F548" s="222"/>
      <c r="G548" s="161"/>
    </row>
    <row r="549" spans="2:8" ht="78" customHeight="1">
      <c r="B549" s="152"/>
      <c r="C549" s="152"/>
      <c r="D549" s="210"/>
      <c r="E549" s="166"/>
      <c r="F549" s="222"/>
      <c r="G549" s="161"/>
    </row>
    <row r="550" spans="2:8" ht="78" customHeight="1">
      <c r="B550" s="152"/>
      <c r="C550" s="152"/>
      <c r="D550" s="210"/>
      <c r="F550" s="154"/>
      <c r="G550" s="161"/>
    </row>
    <row r="551" spans="2:8" ht="78" customHeight="1">
      <c r="B551" s="152"/>
      <c r="C551" s="152"/>
      <c r="D551" s="256"/>
      <c r="F551" s="154"/>
      <c r="G551" s="161"/>
    </row>
    <row r="552" spans="2:8" ht="78" customHeight="1">
      <c r="B552" s="152"/>
      <c r="C552" s="254"/>
      <c r="D552" s="210"/>
      <c r="E552" s="161"/>
      <c r="G552" s="161"/>
    </row>
    <row r="553" spans="2:8" ht="78" customHeight="1">
      <c r="B553" s="152"/>
      <c r="C553" s="152"/>
      <c r="D553" s="210"/>
      <c r="E553" s="166"/>
      <c r="F553" s="222"/>
      <c r="G553" s="161"/>
    </row>
    <row r="554" spans="2:8" ht="78" customHeight="1">
      <c r="B554" s="152"/>
      <c r="C554" s="152"/>
      <c r="D554" s="210"/>
      <c r="E554" s="166"/>
      <c r="F554" s="222"/>
      <c r="G554" s="161"/>
    </row>
    <row r="555" spans="2:8" ht="78" customHeight="1">
      <c r="B555" s="152"/>
      <c r="C555" s="152"/>
      <c r="D555" s="210"/>
      <c r="F555" s="154"/>
      <c r="G555" s="161"/>
      <c r="H555" s="154"/>
    </row>
    <row r="556" spans="2:8" ht="78" customHeight="1">
      <c r="B556" s="152"/>
      <c r="C556" s="152"/>
      <c r="D556" s="210"/>
      <c r="E556" s="161"/>
      <c r="F556" s="154"/>
      <c r="G556" s="161"/>
    </row>
    <row r="557" spans="2:8" ht="78" customHeight="1">
      <c r="B557" s="152"/>
      <c r="C557" s="152"/>
      <c r="D557" s="256"/>
      <c r="E557" s="155"/>
      <c r="F557" s="222"/>
      <c r="G557" s="161"/>
    </row>
    <row r="558" spans="2:8" ht="78" customHeight="1">
      <c r="B558" s="152"/>
      <c r="C558" s="254"/>
      <c r="D558" s="210"/>
      <c r="E558" s="166"/>
      <c r="F558" s="222"/>
      <c r="G558" s="161"/>
    </row>
    <row r="559" spans="2:8" ht="78" customHeight="1">
      <c r="B559" s="152"/>
      <c r="C559" s="152"/>
      <c r="D559" s="210"/>
      <c r="E559" s="161"/>
      <c r="G559" s="161"/>
    </row>
    <row r="560" spans="2:8" ht="78" customHeight="1">
      <c r="B560" s="152"/>
      <c r="C560" s="152"/>
      <c r="D560" s="210"/>
      <c r="G560" s="161"/>
      <c r="H560" s="154"/>
    </row>
    <row r="561" spans="2:8" ht="78" customHeight="1">
      <c r="B561" s="152"/>
      <c r="C561" s="152"/>
      <c r="D561" s="210"/>
      <c r="E561" s="166"/>
      <c r="F561" s="222"/>
      <c r="G561" s="161"/>
    </row>
    <row r="562" spans="2:8" ht="78" customHeight="1">
      <c r="B562" s="152"/>
      <c r="C562" s="152"/>
      <c r="D562" s="210"/>
      <c r="E562" s="166"/>
      <c r="F562" s="222"/>
      <c r="G562" s="161"/>
    </row>
    <row r="563" spans="2:8" ht="78" customHeight="1">
      <c r="B563" s="152"/>
      <c r="C563" s="152"/>
      <c r="D563" s="256"/>
      <c r="F563" s="154"/>
      <c r="G563" s="161"/>
    </row>
    <row r="564" spans="2:8" ht="78" customHeight="1">
      <c r="B564" s="152"/>
      <c r="C564" s="152"/>
      <c r="D564" s="210"/>
      <c r="G564" s="161"/>
    </row>
    <row r="565" spans="2:8" ht="78" customHeight="1">
      <c r="B565" s="152"/>
      <c r="C565" s="152"/>
      <c r="D565" s="256"/>
      <c r="G565" s="161"/>
    </row>
    <row r="566" spans="2:8" ht="78" customHeight="1">
      <c r="B566" s="152"/>
      <c r="C566" s="275"/>
      <c r="D566" s="210"/>
      <c r="E566" s="161"/>
      <c r="F566" s="154"/>
      <c r="G566" s="161"/>
    </row>
    <row r="567" spans="2:8" ht="78" customHeight="1">
      <c r="B567" s="275"/>
      <c r="C567" s="275"/>
      <c r="D567" s="210"/>
      <c r="E567" s="166"/>
      <c r="F567" s="222"/>
      <c r="G567" s="161"/>
    </row>
    <row r="568" spans="2:8" ht="78" customHeight="1">
      <c r="B568" s="275"/>
      <c r="C568" s="275"/>
      <c r="D568" s="210"/>
      <c r="E568" s="166"/>
      <c r="F568" s="222"/>
      <c r="G568" s="161"/>
    </row>
    <row r="569" spans="2:8" ht="78" customHeight="1">
      <c r="B569" s="275"/>
      <c r="C569" s="152"/>
      <c r="D569" s="210"/>
      <c r="F569" s="154"/>
      <c r="G569" s="161"/>
    </row>
    <row r="570" spans="2:8" ht="78" customHeight="1">
      <c r="B570" s="275"/>
      <c r="C570" s="152"/>
      <c r="D570" s="210"/>
      <c r="F570" s="154"/>
      <c r="G570" s="161"/>
    </row>
    <row r="571" spans="2:8" ht="78" customHeight="1">
      <c r="B571" s="152"/>
      <c r="C571" s="153"/>
      <c r="D571" s="210"/>
      <c r="F571" s="154"/>
      <c r="G571" s="161"/>
    </row>
    <row r="572" spans="2:8" ht="78" customHeight="1">
      <c r="B572" s="152"/>
      <c r="C572" s="152"/>
      <c r="D572" s="210"/>
      <c r="F572" s="154"/>
      <c r="G572" s="161"/>
      <c r="H572" s="154"/>
    </row>
    <row r="573" spans="2:8" ht="78" customHeight="1">
      <c r="B573" s="152"/>
      <c r="C573" s="152"/>
      <c r="D573" s="210"/>
      <c r="F573" s="154"/>
      <c r="G573" s="161"/>
      <c r="H573" s="154"/>
    </row>
    <row r="574" spans="2:8" ht="78" customHeight="1">
      <c r="B574" s="152"/>
      <c r="C574" s="152"/>
      <c r="D574" s="210"/>
      <c r="E574" s="166"/>
      <c r="F574" s="222"/>
      <c r="G574" s="161"/>
    </row>
    <row r="575" spans="2:8" ht="78" customHeight="1">
      <c r="B575" s="152"/>
      <c r="C575" s="152"/>
      <c r="D575" s="261"/>
      <c r="G575" s="161"/>
    </row>
    <row r="576" spans="2:8" ht="78" customHeight="1">
      <c r="B576" s="152"/>
      <c r="C576" s="152"/>
      <c r="D576" s="210"/>
      <c r="F576" s="154"/>
      <c r="G576" s="279"/>
      <c r="H576" s="154"/>
    </row>
    <row r="577" spans="2:9" ht="78" customHeight="1">
      <c r="B577" s="152"/>
      <c r="C577" s="152"/>
      <c r="D577" s="261"/>
      <c r="F577" s="154"/>
      <c r="G577" s="279"/>
      <c r="H577" s="154"/>
    </row>
    <row r="578" spans="2:9" ht="78" customHeight="1">
      <c r="B578" s="152"/>
      <c r="C578" s="152"/>
      <c r="D578" s="210"/>
      <c r="G578" s="279"/>
      <c r="H578" s="154"/>
    </row>
    <row r="579" spans="2:9" ht="78" customHeight="1">
      <c r="B579" s="152"/>
      <c r="C579" s="153"/>
      <c r="D579" s="210"/>
      <c r="G579" s="279"/>
      <c r="H579" s="154"/>
    </row>
    <row r="580" spans="2:9" ht="78" customHeight="1">
      <c r="B580" s="152"/>
      <c r="C580" s="153"/>
      <c r="D580" s="210"/>
      <c r="F580" s="154"/>
      <c r="G580" s="279"/>
    </row>
    <row r="581" spans="2:9" ht="78" customHeight="1">
      <c r="B581" s="152"/>
      <c r="C581" s="153"/>
      <c r="D581" s="210"/>
      <c r="F581" s="154"/>
      <c r="G581" s="279"/>
    </row>
    <row r="582" spans="2:9" ht="78" customHeight="1">
      <c r="B582" s="152"/>
      <c r="C582" s="152"/>
      <c r="D582" s="210"/>
      <c r="F582" s="200"/>
      <c r="G582" s="279"/>
    </row>
    <row r="583" spans="2:9" ht="78" customHeight="1">
      <c r="B583" s="152"/>
      <c r="C583" s="153"/>
      <c r="D583" s="210"/>
      <c r="F583" s="154"/>
      <c r="G583" s="279"/>
    </row>
    <row r="584" spans="2:9" ht="78" customHeight="1">
      <c r="B584" s="152"/>
      <c r="C584" s="153"/>
      <c r="D584" s="210"/>
      <c r="F584" s="154"/>
      <c r="G584" s="279"/>
    </row>
    <row r="585" spans="2:9" ht="78" customHeight="1">
      <c r="B585" s="152"/>
      <c r="C585" s="153"/>
      <c r="D585" s="210"/>
      <c r="F585" s="154"/>
      <c r="G585" s="279"/>
    </row>
    <row r="586" spans="2:9" ht="78" customHeight="1">
      <c r="B586" s="152"/>
      <c r="C586" s="153"/>
      <c r="D586" s="210"/>
      <c r="F586" s="154"/>
      <c r="G586" s="279"/>
      <c r="H586" s="154"/>
    </row>
    <row r="587" spans="2:9" ht="78" customHeight="1">
      <c r="B587" s="152"/>
      <c r="C587" s="152"/>
      <c r="D587" s="210"/>
      <c r="F587" s="154"/>
      <c r="G587" s="279"/>
      <c r="H587" s="154"/>
    </row>
    <row r="588" spans="2:9" ht="78" customHeight="1">
      <c r="B588" s="152"/>
      <c r="C588" s="152"/>
      <c r="D588" s="261"/>
      <c r="G588" s="279"/>
      <c r="H588" s="154"/>
      <c r="I588" s="280"/>
    </row>
    <row r="589" spans="2:9" ht="78" customHeight="1">
      <c r="B589" s="152"/>
      <c r="C589" s="152"/>
      <c r="D589" s="210"/>
      <c r="E589" s="161"/>
      <c r="F589" s="154"/>
      <c r="G589" s="279"/>
      <c r="H589" s="154"/>
    </row>
    <row r="590" spans="2:9" ht="78" customHeight="1">
      <c r="B590" s="152"/>
      <c r="C590" s="153"/>
      <c r="D590" s="210"/>
      <c r="F590" s="154"/>
      <c r="G590" s="279"/>
    </row>
    <row r="591" spans="2:9" ht="78" customHeight="1">
      <c r="B591" s="153"/>
      <c r="C591" s="153"/>
      <c r="D591" s="210"/>
      <c r="F591" s="154"/>
      <c r="G591" s="279"/>
    </row>
    <row r="592" spans="2:9" ht="78" customHeight="1">
      <c r="B592" s="153"/>
      <c r="C592" s="153"/>
      <c r="D592" s="210"/>
      <c r="F592" s="154"/>
      <c r="G592" s="279"/>
    </row>
    <row r="593" spans="2:8" ht="78" customHeight="1">
      <c r="B593" s="153"/>
      <c r="C593" s="153"/>
      <c r="D593" s="210"/>
      <c r="F593" s="154"/>
      <c r="G593" s="279"/>
    </row>
    <row r="594" spans="2:8" ht="78" customHeight="1">
      <c r="B594" s="152"/>
      <c r="C594" s="153"/>
      <c r="D594" s="210"/>
      <c r="F594" s="154"/>
      <c r="G594" s="279"/>
    </row>
    <row r="595" spans="2:8" ht="78" customHeight="1">
      <c r="B595" s="152"/>
      <c r="C595" s="153"/>
      <c r="D595" s="210"/>
      <c r="F595" s="154"/>
      <c r="G595" s="279"/>
      <c r="H595" s="154"/>
    </row>
    <row r="596" spans="2:8" ht="78" customHeight="1">
      <c r="B596" s="152"/>
      <c r="C596" s="153"/>
      <c r="D596" s="210"/>
      <c r="F596" s="154"/>
      <c r="G596" s="279"/>
    </row>
    <row r="597" spans="2:8" ht="78" customHeight="1">
      <c r="B597" s="152"/>
      <c r="C597" s="153"/>
      <c r="D597" s="210"/>
      <c r="F597" s="154"/>
      <c r="G597" s="279"/>
      <c r="H597" s="154"/>
    </row>
    <row r="598" spans="2:8" ht="78" customHeight="1">
      <c r="B598" s="152"/>
      <c r="C598" s="152"/>
      <c r="D598" s="210"/>
      <c r="F598" s="154"/>
      <c r="G598" s="279"/>
    </row>
    <row r="599" spans="2:8" ht="78" customHeight="1">
      <c r="B599" s="152"/>
      <c r="C599" s="153"/>
      <c r="D599" s="210"/>
      <c r="F599" s="154"/>
      <c r="G599" s="279"/>
    </row>
    <row r="600" spans="2:8" ht="78" customHeight="1">
      <c r="B600" s="152"/>
      <c r="C600" s="152"/>
      <c r="D600" s="210"/>
      <c r="F600" s="154"/>
      <c r="G600" s="279"/>
      <c r="H600" s="154"/>
    </row>
    <row r="601" spans="2:8" ht="78" customHeight="1">
      <c r="B601" s="152"/>
      <c r="C601" s="153"/>
      <c r="D601" s="210"/>
      <c r="F601" s="154"/>
      <c r="G601" s="279"/>
      <c r="H601" s="154"/>
    </row>
    <row r="602" spans="2:8" ht="78" customHeight="1">
      <c r="B602" s="152"/>
      <c r="C602" s="152"/>
      <c r="D602" s="210"/>
      <c r="F602" s="154"/>
      <c r="G602" s="279"/>
    </row>
    <row r="603" spans="2:8" ht="78" customHeight="1">
      <c r="B603" s="152"/>
      <c r="C603" s="152"/>
      <c r="D603" s="210"/>
      <c r="F603" s="154"/>
      <c r="G603" s="279"/>
    </row>
    <row r="604" spans="2:8" ht="78" customHeight="1">
      <c r="B604" s="152"/>
      <c r="C604" s="152"/>
      <c r="D604" s="210"/>
      <c r="F604" s="154"/>
      <c r="G604" s="279"/>
    </row>
    <row r="605" spans="2:8" ht="78" customHeight="1">
      <c r="B605" s="152"/>
      <c r="C605" s="152"/>
      <c r="D605" s="210"/>
      <c r="F605" s="154"/>
      <c r="G605" s="279"/>
    </row>
    <row r="606" spans="2:8" ht="78" customHeight="1">
      <c r="B606" s="152"/>
      <c r="C606" s="152"/>
      <c r="D606" s="210"/>
      <c r="F606" s="154"/>
      <c r="G606" s="279"/>
    </row>
    <row r="607" spans="2:8" ht="78" customHeight="1">
      <c r="B607" s="152"/>
      <c r="C607" s="152"/>
      <c r="D607" s="210"/>
      <c r="F607" s="154"/>
      <c r="G607" s="279"/>
    </row>
    <row r="608" spans="2:8" ht="78" customHeight="1">
      <c r="B608" s="152"/>
      <c r="C608" s="152"/>
      <c r="D608" s="210"/>
      <c r="F608" s="154"/>
      <c r="G608" s="279"/>
    </row>
    <row r="609" spans="2:7" ht="78" customHeight="1">
      <c r="B609" s="152"/>
      <c r="C609" s="152"/>
      <c r="D609" s="210"/>
      <c r="F609" s="154"/>
      <c r="G609" s="279"/>
    </row>
    <row r="610" spans="2:7" ht="78" customHeight="1">
      <c r="B610" s="152"/>
      <c r="C610" s="152"/>
      <c r="D610" s="210"/>
      <c r="F610" s="154"/>
      <c r="G610" s="279"/>
    </row>
    <row r="611" spans="2:7" ht="78" customHeight="1">
      <c r="B611" s="152"/>
      <c r="C611" s="152"/>
      <c r="D611" s="210"/>
      <c r="F611" s="154"/>
      <c r="G611" s="279"/>
    </row>
    <row r="612" spans="2:7" ht="78" customHeight="1">
      <c r="B612" s="152"/>
      <c r="C612" s="152"/>
      <c r="D612" s="210"/>
      <c r="F612" s="154"/>
      <c r="G612" s="161"/>
    </row>
    <row r="613" spans="2:7" ht="78" customHeight="1">
      <c r="B613" s="152"/>
      <c r="C613" s="152"/>
      <c r="D613" s="210"/>
      <c r="F613" s="154"/>
      <c r="G613" s="161"/>
    </row>
    <row r="614" spans="2:7" ht="78" customHeight="1">
      <c r="B614" s="152"/>
      <c r="C614" s="152"/>
      <c r="D614" s="210"/>
      <c r="E614" s="166"/>
      <c r="F614" s="222"/>
      <c r="G614" s="161"/>
    </row>
    <row r="615" spans="2:7" ht="78" customHeight="1">
      <c r="B615" s="152"/>
      <c r="C615" s="152"/>
      <c r="D615" s="210"/>
      <c r="E615" s="166"/>
      <c r="F615" s="222"/>
      <c r="G615" s="161"/>
    </row>
    <row r="616" spans="2:7" ht="78" customHeight="1">
      <c r="B616" s="152"/>
      <c r="C616" s="152"/>
      <c r="D616" s="210"/>
      <c r="F616" s="154"/>
      <c r="G616" s="161"/>
    </row>
    <row r="617" spans="2:7" ht="78" customHeight="1">
      <c r="B617" s="152"/>
      <c r="C617" s="152"/>
      <c r="D617" s="210"/>
      <c r="F617" s="154"/>
      <c r="G617" s="161"/>
    </row>
    <row r="618" spans="2:7" ht="78" customHeight="1">
      <c r="B618" s="152"/>
      <c r="C618" s="152"/>
      <c r="D618" s="210"/>
      <c r="F618" s="154"/>
      <c r="G618" s="161"/>
    </row>
    <row r="619" spans="2:7" ht="78" customHeight="1">
      <c r="B619" s="152"/>
      <c r="C619" s="152"/>
      <c r="D619" s="210"/>
      <c r="F619" s="154"/>
      <c r="G619" s="161"/>
    </row>
    <row r="620" spans="2:7" ht="78" customHeight="1">
      <c r="B620" s="152"/>
      <c r="C620" s="152"/>
      <c r="D620" s="210"/>
      <c r="F620" s="154"/>
      <c r="G620" s="161"/>
    </row>
    <row r="621" spans="2:7" ht="78" customHeight="1">
      <c r="B621" s="152"/>
      <c r="C621" s="152"/>
      <c r="D621" s="210"/>
      <c r="F621" s="154"/>
      <c r="G621" s="161"/>
    </row>
    <row r="622" spans="2:7" ht="78" customHeight="1">
      <c r="B622" s="152"/>
      <c r="C622" s="152"/>
      <c r="D622" s="210"/>
      <c r="F622" s="154"/>
      <c r="G622" s="161"/>
    </row>
    <row r="623" spans="2:7" ht="78" customHeight="1">
      <c r="B623" s="152"/>
      <c r="C623" s="152"/>
      <c r="D623" s="210"/>
      <c r="F623" s="154"/>
      <c r="G623" s="161"/>
    </row>
    <row r="624" spans="2:7" ht="78" customHeight="1">
      <c r="B624" s="152"/>
      <c r="C624" s="152"/>
      <c r="D624" s="210"/>
      <c r="E624" s="166"/>
      <c r="F624" s="222"/>
      <c r="G624" s="161"/>
    </row>
    <row r="625" spans="2:8" ht="78" customHeight="1">
      <c r="B625" s="152"/>
      <c r="C625" s="152"/>
      <c r="D625" s="210"/>
      <c r="E625" s="166"/>
      <c r="F625" s="222"/>
      <c r="G625" s="161"/>
      <c r="H625" s="154"/>
    </row>
    <row r="626" spans="2:8" ht="78" customHeight="1">
      <c r="B626" s="152"/>
      <c r="C626" s="152"/>
      <c r="D626" s="210"/>
      <c r="F626" s="154"/>
      <c r="G626" s="161"/>
    </row>
    <row r="627" spans="2:8" ht="78" customHeight="1">
      <c r="B627" s="152"/>
      <c r="C627" s="152"/>
      <c r="D627" s="210"/>
      <c r="F627" s="154"/>
      <c r="G627" s="161"/>
    </row>
    <row r="628" spans="2:8" ht="78" customHeight="1">
      <c r="B628" s="152"/>
      <c r="C628" s="152"/>
      <c r="D628" s="210"/>
      <c r="F628" s="154"/>
      <c r="G628" s="161"/>
    </row>
    <row r="629" spans="2:8" ht="78" customHeight="1">
      <c r="B629" s="152"/>
      <c r="C629" s="152"/>
      <c r="D629" s="210"/>
      <c r="F629" s="154"/>
      <c r="G629" s="161"/>
    </row>
    <row r="630" spans="2:8" ht="78" customHeight="1">
      <c r="B630" s="152"/>
      <c r="C630" s="152"/>
      <c r="D630" s="210"/>
      <c r="F630" s="154"/>
      <c r="G630" s="161"/>
    </row>
    <row r="631" spans="2:8" ht="78" customHeight="1">
      <c r="B631" s="152"/>
      <c r="C631" s="152"/>
      <c r="D631" s="210"/>
      <c r="F631" s="154"/>
      <c r="G631" s="161"/>
    </row>
    <row r="632" spans="2:8" ht="78" customHeight="1">
      <c r="B632" s="152"/>
      <c r="C632" s="152"/>
      <c r="D632" s="210"/>
      <c r="F632" s="154"/>
      <c r="G632" s="161"/>
    </row>
    <row r="633" spans="2:8" ht="78" customHeight="1">
      <c r="B633" s="152"/>
      <c r="C633" s="152"/>
      <c r="D633" s="210"/>
      <c r="F633" s="154"/>
      <c r="G633" s="161"/>
    </row>
    <row r="634" spans="2:8" ht="78" customHeight="1">
      <c r="B634" s="152"/>
      <c r="C634" s="152"/>
      <c r="D634" s="256"/>
      <c r="F634" s="154"/>
      <c r="G634" s="161"/>
    </row>
    <row r="635" spans="2:8" ht="78" customHeight="1">
      <c r="B635" s="152"/>
      <c r="C635" s="152"/>
      <c r="D635" s="210"/>
      <c r="E635" s="161"/>
      <c r="F635" s="154"/>
      <c r="G635" s="161"/>
      <c r="H635" s="154"/>
    </row>
    <row r="636" spans="2:8" ht="78" customHeight="1">
      <c r="B636" s="152"/>
      <c r="C636" s="152"/>
      <c r="D636" s="256"/>
      <c r="F636" s="154"/>
      <c r="G636" s="161"/>
    </row>
    <row r="637" spans="2:8" ht="78" customHeight="1">
      <c r="B637" s="152"/>
      <c r="C637" s="153"/>
      <c r="D637" s="256"/>
      <c r="F637" s="154"/>
      <c r="G637" s="161"/>
    </row>
    <row r="638" spans="2:8" ht="78" customHeight="1">
      <c r="B638" s="152"/>
      <c r="C638" s="153"/>
      <c r="D638" s="256"/>
      <c r="G638" s="161"/>
    </row>
    <row r="639" spans="2:8" ht="78" customHeight="1">
      <c r="B639" s="152"/>
      <c r="C639" s="153"/>
      <c r="D639" s="256"/>
      <c r="F639" s="154"/>
      <c r="G639" s="161"/>
    </row>
    <row r="640" spans="2:8" ht="78" customHeight="1">
      <c r="B640" s="152"/>
      <c r="C640" s="152"/>
      <c r="D640" s="210"/>
      <c r="E640" s="166"/>
      <c r="F640" s="222"/>
      <c r="G640" s="161"/>
    </row>
    <row r="641" spans="2:8" ht="78" customHeight="1">
      <c r="B641" s="152"/>
      <c r="C641" s="152"/>
      <c r="D641" s="210"/>
      <c r="E641" s="166"/>
      <c r="F641" s="222"/>
      <c r="G641" s="161"/>
    </row>
    <row r="642" spans="2:8" ht="78" customHeight="1">
      <c r="B642" s="152"/>
      <c r="C642" s="153"/>
      <c r="D642" s="210"/>
      <c r="F642" s="154"/>
      <c r="G642" s="161"/>
    </row>
    <row r="643" spans="2:8" ht="78" customHeight="1">
      <c r="B643" s="152"/>
      <c r="C643" s="153"/>
      <c r="D643" s="210"/>
      <c r="F643" s="154"/>
      <c r="G643" s="161"/>
      <c r="H643" s="154"/>
    </row>
    <row r="644" spans="2:8" ht="78" customHeight="1">
      <c r="B644" s="152"/>
      <c r="C644" s="152"/>
      <c r="D644" s="210"/>
      <c r="E644" s="166"/>
      <c r="F644" s="222"/>
      <c r="G644" s="161"/>
    </row>
    <row r="645" spans="2:8" ht="78" customHeight="1">
      <c r="B645" s="152"/>
      <c r="C645" s="152"/>
      <c r="D645" s="210"/>
      <c r="E645" s="166"/>
      <c r="F645" s="222"/>
      <c r="G645" s="161"/>
    </row>
    <row r="646" spans="2:8" ht="78" customHeight="1">
      <c r="B646" s="152"/>
      <c r="C646" s="152"/>
      <c r="D646" s="210"/>
      <c r="G646" s="161"/>
      <c r="H646" s="154"/>
    </row>
    <row r="647" spans="2:8" ht="78" customHeight="1">
      <c r="B647" s="152"/>
      <c r="C647" s="153"/>
      <c r="D647" s="256"/>
      <c r="F647" s="154"/>
      <c r="G647" s="161"/>
    </row>
    <row r="648" spans="2:8" ht="78" customHeight="1">
      <c r="B648" s="152"/>
      <c r="C648" s="153"/>
      <c r="D648" s="256"/>
      <c r="F648" s="154"/>
      <c r="G648" s="161"/>
    </row>
    <row r="649" spans="2:8" ht="78" customHeight="1">
      <c r="B649" s="152"/>
      <c r="C649" s="152"/>
      <c r="D649" s="210"/>
      <c r="F649" s="154"/>
      <c r="G649" s="161"/>
    </row>
    <row r="650" spans="2:8" ht="78" customHeight="1">
      <c r="B650" s="152"/>
      <c r="C650" s="153"/>
      <c r="D650" s="210"/>
      <c r="F650" s="154"/>
      <c r="G650" s="161"/>
    </row>
    <row r="651" spans="2:8" ht="78" customHeight="1">
      <c r="B651" s="152"/>
      <c r="C651" s="152"/>
      <c r="D651" s="256"/>
      <c r="F651" s="154"/>
      <c r="G651" s="279"/>
      <c r="H651" s="154"/>
    </row>
    <row r="652" spans="2:8" ht="78" customHeight="1">
      <c r="B652" s="152"/>
      <c r="C652" s="152"/>
      <c r="D652" s="210"/>
      <c r="E652" s="166"/>
      <c r="F652" s="222"/>
      <c r="G652" s="161"/>
    </row>
    <row r="653" spans="2:8" ht="78" customHeight="1">
      <c r="B653" s="152"/>
      <c r="C653" s="152"/>
      <c r="D653" s="210"/>
      <c r="E653" s="166"/>
      <c r="F653" s="222"/>
      <c r="G653" s="161"/>
    </row>
    <row r="654" spans="2:8" ht="78" customHeight="1">
      <c r="B654" s="152"/>
      <c r="C654" s="152"/>
      <c r="D654" s="256"/>
      <c r="F654" s="154"/>
      <c r="G654" s="161"/>
    </row>
    <row r="655" spans="2:8" ht="78" customHeight="1">
      <c r="B655" s="152"/>
      <c r="C655" s="152"/>
      <c r="D655" s="210"/>
      <c r="F655" s="154"/>
      <c r="G655" s="161"/>
      <c r="H655" s="154"/>
    </row>
    <row r="656" spans="2:8" ht="78" customHeight="1">
      <c r="B656" s="152"/>
      <c r="C656" s="152"/>
      <c r="D656" s="256"/>
      <c r="E656" s="155"/>
      <c r="F656" s="222"/>
      <c r="G656" s="181"/>
    </row>
    <row r="657" spans="2:8" ht="78" customHeight="1">
      <c r="B657" s="152"/>
      <c r="C657" s="254"/>
      <c r="D657" s="210"/>
      <c r="E657" s="166"/>
      <c r="F657" s="165"/>
      <c r="G657" s="161"/>
      <c r="H657" s="247"/>
    </row>
    <row r="658" spans="2:8" ht="78" customHeight="1">
      <c r="B658" s="254"/>
      <c r="C658" s="152"/>
      <c r="D658" s="212"/>
      <c r="E658" s="171"/>
      <c r="F658" s="154"/>
      <c r="G658" s="158"/>
    </row>
    <row r="659" spans="2:8" ht="78" customHeight="1">
      <c r="B659" s="254"/>
      <c r="C659" s="152"/>
      <c r="D659" s="210"/>
      <c r="E659" s="158"/>
      <c r="F659" s="154"/>
      <c r="G659" s="161"/>
      <c r="H659" s="154"/>
    </row>
    <row r="660" spans="2:8" ht="78" customHeight="1">
      <c r="B660" s="152"/>
      <c r="C660" s="152"/>
      <c r="D660" s="210"/>
      <c r="E660" s="166"/>
      <c r="F660" s="222"/>
      <c r="G660" s="161"/>
    </row>
    <row r="661" spans="2:8" ht="78" customHeight="1">
      <c r="B661" s="152"/>
      <c r="C661" s="152"/>
      <c r="D661" s="256"/>
      <c r="E661" s="155"/>
      <c r="F661" s="222"/>
      <c r="G661" s="161"/>
    </row>
    <row r="662" spans="2:8" ht="78" customHeight="1">
      <c r="B662" s="152"/>
      <c r="C662" s="152"/>
      <c r="D662" s="210"/>
      <c r="F662" s="154"/>
      <c r="G662" s="161"/>
    </row>
    <row r="663" spans="2:8" ht="78" customHeight="1">
      <c r="B663" s="152"/>
      <c r="C663" s="152"/>
      <c r="D663" s="210"/>
      <c r="F663" s="154"/>
      <c r="G663" s="161"/>
      <c r="H663" s="154"/>
    </row>
    <row r="664" spans="2:8" ht="78" customHeight="1">
      <c r="B664" s="152"/>
      <c r="C664" s="153"/>
      <c r="D664" s="210"/>
      <c r="G664" s="161"/>
    </row>
    <row r="665" spans="2:8" ht="78" customHeight="1">
      <c r="B665" s="152"/>
      <c r="C665" s="152"/>
      <c r="D665" s="210"/>
      <c r="E665" s="166"/>
      <c r="F665" s="222"/>
      <c r="G665" s="161"/>
    </row>
    <row r="666" spans="2:8" ht="78" customHeight="1">
      <c r="B666" s="152"/>
      <c r="C666" s="152"/>
      <c r="D666" s="210"/>
      <c r="F666" s="154"/>
      <c r="G666" s="161"/>
    </row>
    <row r="667" spans="2:8" ht="78" customHeight="1">
      <c r="B667" s="152"/>
      <c r="C667" s="153"/>
      <c r="D667" s="210"/>
      <c r="F667" s="154"/>
      <c r="G667" s="161"/>
    </row>
    <row r="668" spans="2:8" ht="78" customHeight="1">
      <c r="B668" s="152"/>
      <c r="C668" s="153"/>
      <c r="D668" s="210"/>
      <c r="F668" s="154"/>
      <c r="G668" s="161"/>
    </row>
    <row r="669" spans="2:8" ht="78" customHeight="1">
      <c r="B669" s="152"/>
      <c r="C669" s="153"/>
      <c r="D669" s="210"/>
      <c r="F669" s="154"/>
      <c r="G669" s="161"/>
    </row>
    <row r="670" spans="2:8" ht="78" customHeight="1">
      <c r="B670" s="152"/>
      <c r="C670" s="153"/>
      <c r="D670" s="210"/>
      <c r="F670" s="154"/>
      <c r="G670" s="161"/>
    </row>
    <row r="671" spans="2:8" ht="78" customHeight="1">
      <c r="B671" s="153"/>
      <c r="C671" s="153"/>
      <c r="D671" s="210"/>
      <c r="F671" s="154"/>
      <c r="G671" s="161"/>
      <c r="H671" s="154"/>
    </row>
    <row r="672" spans="2:8" ht="78" customHeight="1">
      <c r="B672" s="152"/>
      <c r="C672" s="152"/>
      <c r="D672" s="261"/>
      <c r="G672" s="161"/>
    </row>
    <row r="673" spans="2:8" ht="78" customHeight="1">
      <c r="B673" s="152"/>
      <c r="C673" s="152"/>
      <c r="D673" s="210"/>
      <c r="F673" s="154"/>
      <c r="G673" s="161"/>
    </row>
    <row r="674" spans="2:8" ht="78" customHeight="1">
      <c r="B674" s="152"/>
      <c r="C674" s="152"/>
      <c r="D674" s="210"/>
      <c r="F674" s="154"/>
      <c r="G674" s="161"/>
    </row>
    <row r="675" spans="2:8" ht="78" customHeight="1">
      <c r="B675" s="152"/>
      <c r="C675" s="152"/>
      <c r="D675" s="210"/>
      <c r="F675" s="154"/>
      <c r="G675" s="161"/>
    </row>
    <row r="676" spans="2:8" ht="78" customHeight="1">
      <c r="B676" s="152"/>
      <c r="C676" s="152"/>
      <c r="D676" s="210"/>
      <c r="G676" s="161"/>
    </row>
    <row r="677" spans="2:8" ht="78" customHeight="1">
      <c r="B677" s="152"/>
      <c r="C677" s="153"/>
      <c r="D677" s="256"/>
      <c r="F677" s="154"/>
      <c r="G677" s="161"/>
    </row>
    <row r="678" spans="2:8" ht="78" customHeight="1">
      <c r="B678" s="152"/>
      <c r="C678" s="245"/>
      <c r="D678" s="210"/>
      <c r="E678" s="161"/>
      <c r="G678" s="161"/>
    </row>
    <row r="679" spans="2:8" ht="78" customHeight="1">
      <c r="B679" s="245"/>
      <c r="C679" s="245"/>
      <c r="D679" s="210"/>
      <c r="E679" s="158"/>
      <c r="F679" s="154"/>
      <c r="G679" s="161"/>
    </row>
    <row r="680" spans="2:8" ht="78" customHeight="1">
      <c r="B680" s="245"/>
      <c r="C680" s="245"/>
      <c r="D680" s="210"/>
      <c r="E680" s="166"/>
      <c r="F680" s="222"/>
      <c r="G680" s="161"/>
    </row>
    <row r="681" spans="2:8" ht="78" customHeight="1">
      <c r="B681" s="245"/>
      <c r="C681" s="245"/>
      <c r="D681" s="256"/>
      <c r="E681" s="155"/>
      <c r="F681" s="222"/>
      <c r="G681" s="161"/>
    </row>
    <row r="682" spans="2:8" ht="78" customHeight="1">
      <c r="B682" s="152"/>
      <c r="C682" s="153"/>
      <c r="D682" s="256"/>
      <c r="E682" s="181"/>
      <c r="F682" s="154"/>
      <c r="G682" s="161"/>
    </row>
    <row r="683" spans="2:8" ht="78" customHeight="1">
      <c r="B683" s="227"/>
      <c r="C683" s="281"/>
      <c r="D683" s="210"/>
      <c r="E683" s="176"/>
      <c r="F683" s="218"/>
      <c r="G683" s="181"/>
    </row>
    <row r="684" spans="2:8" ht="78" customHeight="1">
      <c r="B684" s="282"/>
      <c r="C684" s="153"/>
      <c r="D684" s="256"/>
      <c r="F684" s="257"/>
      <c r="G684" s="166"/>
      <c r="H684" s="259"/>
    </row>
    <row r="685" spans="2:8" ht="78" customHeight="1">
      <c r="B685" s="254"/>
      <c r="C685" s="283"/>
      <c r="D685" s="210"/>
      <c r="E685" s="173"/>
      <c r="F685" s="172"/>
      <c r="G685" s="166"/>
      <c r="H685" s="222"/>
    </row>
    <row r="686" spans="2:8" ht="78" customHeight="1">
      <c r="B686" s="282"/>
      <c r="C686" s="153"/>
      <c r="D686" s="212"/>
      <c r="F686" s="257"/>
      <c r="G686" s="166"/>
      <c r="H686" s="222"/>
    </row>
    <row r="687" spans="2:8" ht="78" customHeight="1">
      <c r="B687" s="228"/>
      <c r="C687" s="284"/>
      <c r="D687" s="210"/>
      <c r="E687" s="182"/>
      <c r="F687" s="175"/>
      <c r="G687" s="166"/>
      <c r="H687" s="222"/>
    </row>
    <row r="688" spans="2:8" ht="78" customHeight="1">
      <c r="B688" s="152"/>
      <c r="C688" s="285"/>
      <c r="D688" s="212"/>
      <c r="F688" s="257"/>
      <c r="G688" s="166"/>
      <c r="H688" s="222"/>
    </row>
    <row r="689" spans="1:8" ht="78" customHeight="1">
      <c r="B689" s="254"/>
      <c r="C689" s="286"/>
      <c r="D689" s="210"/>
      <c r="E689" s="176"/>
      <c r="F689" s="260"/>
      <c r="G689" s="166"/>
      <c r="H689" s="222"/>
    </row>
    <row r="690" spans="1:8" ht="78" customHeight="1">
      <c r="B690" s="287"/>
      <c r="C690" s="228"/>
      <c r="D690" s="210"/>
      <c r="E690" s="158"/>
      <c r="G690" s="166"/>
      <c r="H690" s="244"/>
    </row>
    <row r="691" spans="1:8" ht="78" customHeight="1">
      <c r="B691" s="152"/>
      <c r="C691" s="275"/>
      <c r="D691" s="210"/>
      <c r="E691" s="161"/>
      <c r="F691" s="154"/>
      <c r="G691" s="166"/>
      <c r="H691" s="222"/>
    </row>
    <row r="692" spans="1:8" ht="78" customHeight="1">
      <c r="B692" s="254"/>
      <c r="C692" s="275"/>
      <c r="D692" s="210"/>
      <c r="E692" s="161"/>
      <c r="F692" s="154"/>
      <c r="G692" s="166"/>
      <c r="H692" s="222"/>
    </row>
    <row r="693" spans="1:8" ht="78" customHeight="1">
      <c r="B693" s="228"/>
      <c r="C693" s="285"/>
      <c r="D693" s="212"/>
      <c r="E693" s="158"/>
      <c r="F693" s="154"/>
      <c r="G693" s="166"/>
      <c r="H693" s="222"/>
    </row>
    <row r="694" spans="1:8" ht="78" customHeight="1">
      <c r="B694" s="227"/>
      <c r="C694" s="275"/>
      <c r="D694" s="210"/>
      <c r="E694" s="161"/>
      <c r="F694" s="154"/>
      <c r="G694" s="166"/>
      <c r="H694" s="222"/>
    </row>
    <row r="695" spans="1:8" ht="78" customHeight="1">
      <c r="B695" s="282"/>
      <c r="C695" s="152"/>
      <c r="D695" s="210"/>
      <c r="E695" s="161"/>
      <c r="F695" s="154"/>
      <c r="G695" s="166"/>
      <c r="H695" s="222"/>
    </row>
    <row r="696" spans="1:8" ht="78" customHeight="1">
      <c r="A696" s="207"/>
      <c r="B696" s="254"/>
      <c r="C696" s="254"/>
      <c r="D696" s="210"/>
      <c r="E696" s="161"/>
      <c r="F696" s="154"/>
      <c r="G696" s="166"/>
      <c r="H696" s="222"/>
    </row>
    <row r="697" spans="1:8" ht="78" customHeight="1">
      <c r="B697" s="254"/>
      <c r="C697" s="152"/>
      <c r="D697" s="256"/>
      <c r="E697" s="181"/>
      <c r="F697" s="154"/>
      <c r="G697" s="166"/>
      <c r="H697" s="222"/>
    </row>
    <row r="698" spans="1:8" ht="78" customHeight="1">
      <c r="B698" s="254"/>
      <c r="C698" s="245"/>
      <c r="D698" s="256"/>
      <c r="E698" s="181"/>
      <c r="G698" s="166"/>
      <c r="H698" s="244"/>
    </row>
    <row r="699" spans="1:8" ht="78" customHeight="1">
      <c r="B699" s="152"/>
      <c r="C699" s="152"/>
      <c r="D699" s="173"/>
      <c r="E699" s="161"/>
      <c r="G699" s="166"/>
      <c r="H699" s="222"/>
    </row>
    <row r="700" spans="1:8" ht="78" customHeight="1">
      <c r="B700" s="152"/>
      <c r="C700" s="152"/>
      <c r="D700" s="173"/>
      <c r="F700" s="154"/>
      <c r="G700" s="166"/>
      <c r="H700" s="244"/>
    </row>
    <row r="701" spans="1:8" ht="78" customHeight="1">
      <c r="B701" s="152"/>
      <c r="C701" s="152"/>
      <c r="D701" s="173"/>
      <c r="G701" s="166"/>
      <c r="H701" s="244"/>
    </row>
    <row r="702" spans="1:8" ht="78" customHeight="1">
      <c r="B702" s="152"/>
      <c r="C702" s="152"/>
      <c r="D702" s="173"/>
      <c r="F702" s="154"/>
      <c r="G702" s="166"/>
      <c r="H702" s="224"/>
    </row>
    <row r="703" spans="1:8" ht="78" customHeight="1">
      <c r="B703" s="152"/>
      <c r="C703" s="153"/>
      <c r="D703" s="173"/>
      <c r="F703" s="154"/>
      <c r="G703" s="166"/>
      <c r="H703" s="154"/>
    </row>
    <row r="704" spans="1:8" ht="78" customHeight="1">
      <c r="B704" s="152"/>
      <c r="C704" s="152"/>
      <c r="D704" s="173"/>
      <c r="G704" s="166"/>
      <c r="H704" s="154"/>
    </row>
    <row r="705" spans="2:8" ht="78" customHeight="1">
      <c r="B705" s="152"/>
      <c r="C705" s="152"/>
      <c r="D705" s="173"/>
      <c r="F705" s="154"/>
      <c r="G705" s="166"/>
      <c r="H705" s="154"/>
    </row>
    <row r="706" spans="2:8" ht="78" customHeight="1">
      <c r="B706" s="152"/>
      <c r="C706" s="152"/>
      <c r="D706" s="149"/>
      <c r="F706" s="154"/>
      <c r="G706" s="166"/>
    </row>
    <row r="707" spans="2:8" ht="78" customHeight="1">
      <c r="B707" s="152"/>
      <c r="C707" s="152"/>
      <c r="D707" s="149"/>
      <c r="F707" s="154"/>
      <c r="G707" s="166"/>
      <c r="H707" s="154"/>
    </row>
    <row r="708" spans="2:8" ht="78" customHeight="1">
      <c r="B708" s="152"/>
      <c r="C708" s="152"/>
      <c r="D708" s="149"/>
      <c r="F708" s="154"/>
      <c r="G708" s="166"/>
      <c r="H708" s="288"/>
    </row>
    <row r="709" spans="2:8" ht="78" customHeight="1">
      <c r="B709" s="152"/>
      <c r="C709" s="152"/>
      <c r="D709" s="149"/>
      <c r="F709" s="154"/>
      <c r="G709" s="166"/>
    </row>
    <row r="710" spans="2:8" ht="78" customHeight="1">
      <c r="B710" s="152"/>
      <c r="C710" s="152"/>
      <c r="D710" s="149"/>
      <c r="F710" s="154"/>
      <c r="G710" s="166"/>
    </row>
    <row r="711" spans="2:8" ht="78" customHeight="1">
      <c r="B711" s="152"/>
      <c r="C711" s="152"/>
      <c r="D711" s="149"/>
      <c r="F711" s="154"/>
      <c r="G711" s="166"/>
    </row>
    <row r="712" spans="2:8" ht="78" customHeight="1">
      <c r="B712" s="152"/>
      <c r="C712" s="152"/>
      <c r="D712" s="149"/>
      <c r="F712" s="154"/>
      <c r="G712" s="166"/>
    </row>
    <row r="713" spans="2:8" ht="78" customHeight="1">
      <c r="B713" s="152"/>
      <c r="C713" s="152"/>
      <c r="D713" s="149"/>
      <c r="F713" s="154"/>
      <c r="G713" s="166"/>
    </row>
    <row r="714" spans="2:8" ht="78" customHeight="1">
      <c r="B714" s="152"/>
      <c r="C714" s="152"/>
      <c r="D714" s="149"/>
      <c r="F714" s="154"/>
      <c r="G714" s="155"/>
    </row>
    <row r="715" spans="2:8" ht="78" customHeight="1">
      <c r="B715" s="152"/>
      <c r="C715" s="275"/>
      <c r="D715" s="173"/>
      <c r="E715" s="161"/>
      <c r="F715" s="172"/>
      <c r="G715" s="155"/>
      <c r="H715" s="236"/>
    </row>
    <row r="716" spans="2:8" ht="78" customHeight="1">
      <c r="B716" s="152"/>
      <c r="C716" s="152"/>
      <c r="D716" s="149"/>
      <c r="F716" s="154"/>
      <c r="G716" s="155"/>
      <c r="H716" s="154"/>
    </row>
    <row r="717" spans="2:8" ht="78" customHeight="1">
      <c r="B717" s="152"/>
      <c r="C717" s="152"/>
      <c r="D717" s="149"/>
      <c r="F717" s="154"/>
      <c r="G717" s="155"/>
    </row>
    <row r="718" spans="2:8" ht="78" customHeight="1">
      <c r="B718" s="152"/>
      <c r="C718" s="152"/>
      <c r="D718" s="149"/>
      <c r="F718" s="154"/>
      <c r="G718" s="155"/>
    </row>
    <row r="719" spans="2:8" ht="78" customHeight="1">
      <c r="B719" s="152"/>
      <c r="C719" s="152"/>
      <c r="D719" s="149"/>
      <c r="F719" s="154"/>
      <c r="G719" s="155"/>
      <c r="H719" s="154"/>
    </row>
    <row r="720" spans="2:8" ht="78" customHeight="1">
      <c r="B720" s="152"/>
      <c r="C720" s="153"/>
      <c r="D720" s="149"/>
      <c r="F720" s="154"/>
      <c r="G720" s="155"/>
      <c r="H720" s="154"/>
    </row>
    <row r="721" spans="2:8" ht="78" customHeight="1">
      <c r="B721" s="152"/>
      <c r="C721" s="152"/>
      <c r="D721" s="173"/>
      <c r="F721" s="154"/>
      <c r="G721" s="155"/>
      <c r="H721" s="154"/>
    </row>
    <row r="722" spans="2:8" ht="78" customHeight="1">
      <c r="B722" s="153"/>
      <c r="C722" s="153"/>
      <c r="D722" s="149"/>
      <c r="F722" s="154"/>
      <c r="G722" s="155"/>
      <c r="H722" s="154"/>
    </row>
    <row r="723" spans="2:8" ht="78" customHeight="1">
      <c r="B723" s="153"/>
      <c r="C723" s="152"/>
      <c r="D723" s="149"/>
      <c r="F723" s="154"/>
      <c r="G723" s="155"/>
    </row>
    <row r="724" spans="2:8" ht="78" customHeight="1">
      <c r="B724" s="152"/>
      <c r="C724" s="152"/>
      <c r="D724" s="149"/>
      <c r="F724" s="154"/>
      <c r="G724" s="155"/>
    </row>
    <row r="725" spans="2:8" ht="78" customHeight="1">
      <c r="B725" s="152"/>
      <c r="C725" s="152"/>
      <c r="D725" s="149"/>
      <c r="F725" s="154"/>
      <c r="G725" s="155"/>
    </row>
    <row r="726" spans="2:8" ht="78" customHeight="1">
      <c r="B726" s="152"/>
      <c r="C726" s="152"/>
      <c r="D726" s="173"/>
      <c r="G726" s="155"/>
    </row>
    <row r="727" spans="2:8" ht="78" customHeight="1">
      <c r="B727" s="152"/>
      <c r="C727" s="152"/>
      <c r="D727" s="149"/>
      <c r="F727" s="154"/>
      <c r="G727" s="155"/>
    </row>
    <row r="728" spans="2:8" ht="78" customHeight="1">
      <c r="B728" s="152"/>
      <c r="C728" s="152"/>
      <c r="D728" s="149"/>
      <c r="G728" s="155"/>
    </row>
    <row r="729" spans="2:8" ht="78" customHeight="1">
      <c r="B729" s="152"/>
      <c r="C729" s="152"/>
      <c r="D729" s="149"/>
      <c r="F729" s="154"/>
      <c r="G729" s="155"/>
    </row>
    <row r="730" spans="2:8" ht="78" customHeight="1">
      <c r="B730" s="152"/>
      <c r="C730" s="153"/>
      <c r="D730" s="149"/>
      <c r="G730" s="155"/>
      <c r="H730" s="154"/>
    </row>
    <row r="731" spans="2:8" ht="78" customHeight="1">
      <c r="B731" s="152"/>
      <c r="C731" s="152"/>
      <c r="D731" s="210"/>
      <c r="F731" s="154"/>
      <c r="G731" s="155"/>
      <c r="H731" s="154"/>
    </row>
    <row r="732" spans="2:8" ht="78" customHeight="1">
      <c r="B732" s="152"/>
      <c r="C732" s="152"/>
      <c r="D732" s="149"/>
      <c r="F732" s="154"/>
      <c r="G732" s="155"/>
    </row>
    <row r="733" spans="2:8" ht="78" customHeight="1">
      <c r="B733" s="152"/>
      <c r="C733" s="152"/>
      <c r="D733" s="149"/>
      <c r="F733" s="154"/>
      <c r="G733" s="155"/>
    </row>
    <row r="734" spans="2:8" ht="78" customHeight="1">
      <c r="B734" s="152"/>
      <c r="C734" s="152"/>
      <c r="D734" s="149"/>
      <c r="F734" s="154"/>
      <c r="G734" s="155"/>
    </row>
    <row r="735" spans="2:8" ht="78" customHeight="1">
      <c r="B735" s="152"/>
      <c r="C735" s="152"/>
      <c r="D735" s="149"/>
      <c r="F735" s="222"/>
      <c r="G735" s="155"/>
    </row>
    <row r="736" spans="2:8" ht="78" customHeight="1">
      <c r="B736" s="152"/>
      <c r="C736" s="152"/>
      <c r="D736" s="149"/>
      <c r="F736" s="222"/>
      <c r="G736" s="155"/>
    </row>
    <row r="737" spans="2:8" ht="78" customHeight="1">
      <c r="B737" s="152"/>
      <c r="C737" s="152"/>
      <c r="D737" s="149"/>
      <c r="F737" s="154"/>
      <c r="G737" s="155"/>
    </row>
    <row r="738" spans="2:8" ht="78" customHeight="1">
      <c r="B738" s="152"/>
      <c r="C738" s="152"/>
      <c r="D738" s="149"/>
      <c r="F738" s="154"/>
      <c r="G738" s="155"/>
    </row>
    <row r="739" spans="2:8" ht="78" customHeight="1">
      <c r="B739" s="152"/>
      <c r="C739" s="152"/>
      <c r="D739" s="149"/>
      <c r="F739" s="222"/>
      <c r="G739" s="155"/>
    </row>
    <row r="740" spans="2:8" ht="78" customHeight="1">
      <c r="B740" s="152"/>
      <c r="C740" s="152"/>
      <c r="D740" s="149"/>
      <c r="F740" s="222"/>
      <c r="G740" s="155"/>
    </row>
    <row r="741" spans="2:8" ht="78" customHeight="1">
      <c r="B741" s="152"/>
      <c r="C741" s="152"/>
      <c r="D741" s="149"/>
      <c r="F741" s="154"/>
      <c r="G741" s="155"/>
    </row>
    <row r="742" spans="2:8" ht="78" customHeight="1">
      <c r="B742" s="152"/>
      <c r="C742" s="152"/>
      <c r="D742" s="149"/>
      <c r="G742" s="155"/>
    </row>
    <row r="743" spans="2:8" ht="78" customHeight="1">
      <c r="B743" s="152"/>
      <c r="C743" s="152"/>
      <c r="D743" s="149"/>
      <c r="F743" s="154"/>
      <c r="G743" s="155"/>
      <c r="H743" s="154"/>
    </row>
    <row r="744" spans="2:8" ht="78" customHeight="1">
      <c r="B744" s="152"/>
      <c r="C744" s="152"/>
      <c r="D744" s="149"/>
      <c r="F744" s="222"/>
      <c r="G744" s="155"/>
    </row>
    <row r="745" spans="2:8" ht="78" customHeight="1">
      <c r="B745" s="152"/>
      <c r="C745" s="152"/>
      <c r="D745" s="149"/>
      <c r="F745" s="222"/>
      <c r="G745" s="155"/>
    </row>
    <row r="746" spans="2:8" ht="78" customHeight="1">
      <c r="B746" s="152"/>
      <c r="C746" s="152"/>
      <c r="D746" s="149"/>
      <c r="F746" s="154"/>
      <c r="G746" s="155"/>
      <c r="H746" s="154"/>
    </row>
    <row r="747" spans="2:8" ht="78" customHeight="1">
      <c r="B747" s="152"/>
      <c r="C747" s="152"/>
      <c r="D747" s="149"/>
      <c r="F747" s="154"/>
      <c r="G747" s="155"/>
    </row>
    <row r="748" spans="2:8" ht="78" customHeight="1">
      <c r="B748" s="152"/>
      <c r="C748" s="152"/>
      <c r="D748" s="149"/>
      <c r="F748" s="154"/>
      <c r="G748" s="155"/>
    </row>
    <row r="749" spans="2:8" ht="78" customHeight="1">
      <c r="B749" s="152"/>
      <c r="C749" s="152"/>
      <c r="D749" s="149"/>
      <c r="F749" s="154"/>
      <c r="G749" s="155"/>
    </row>
    <row r="750" spans="2:8" ht="78" customHeight="1">
      <c r="B750" s="152"/>
      <c r="C750" s="152"/>
      <c r="D750" s="149"/>
      <c r="F750" s="154"/>
      <c r="G750" s="155"/>
    </row>
    <row r="751" spans="2:8" ht="78" customHeight="1">
      <c r="B751" s="152"/>
      <c r="C751" s="152"/>
      <c r="D751" s="149"/>
      <c r="F751" s="222"/>
      <c r="G751" s="155"/>
    </row>
    <row r="752" spans="2:8" ht="78" customHeight="1">
      <c r="B752" s="152"/>
      <c r="C752" s="152"/>
      <c r="D752" s="149"/>
      <c r="F752" s="222"/>
      <c r="G752" s="155"/>
    </row>
    <row r="753" spans="2:8" ht="78" customHeight="1">
      <c r="B753" s="152"/>
      <c r="C753" s="152"/>
      <c r="D753" s="149"/>
      <c r="G753" s="155"/>
      <c r="H753" s="154"/>
    </row>
    <row r="754" spans="2:8" ht="78" customHeight="1">
      <c r="B754" s="152"/>
      <c r="C754" s="153"/>
      <c r="D754" s="149"/>
      <c r="G754" s="155"/>
    </row>
    <row r="755" spans="2:8" ht="78" customHeight="1">
      <c r="B755" s="152"/>
      <c r="C755" s="152"/>
      <c r="D755" s="149"/>
      <c r="F755" s="154"/>
      <c r="G755" s="155"/>
      <c r="H755" s="289"/>
    </row>
    <row r="756" spans="2:8" ht="78" customHeight="1">
      <c r="B756" s="152"/>
      <c r="C756" s="153"/>
      <c r="D756" s="149"/>
      <c r="F756" s="154"/>
      <c r="G756" s="155"/>
    </row>
    <row r="757" spans="2:8" ht="78" customHeight="1">
      <c r="B757" s="152"/>
      <c r="C757" s="152"/>
      <c r="D757" s="149"/>
      <c r="F757" s="154"/>
      <c r="G757" s="155"/>
    </row>
    <row r="758" spans="2:8" ht="78" customHeight="1">
      <c r="B758" s="152"/>
      <c r="C758" s="152"/>
      <c r="D758" s="149"/>
      <c r="F758" s="154"/>
      <c r="G758" s="155"/>
    </row>
    <row r="759" spans="2:8" ht="78" customHeight="1">
      <c r="B759" s="152"/>
      <c r="C759" s="152"/>
      <c r="D759" s="149"/>
      <c r="F759" s="222"/>
      <c r="G759" s="155"/>
    </row>
    <row r="760" spans="2:8" ht="78" customHeight="1">
      <c r="B760" s="152"/>
      <c r="C760" s="152"/>
      <c r="D760" s="149"/>
      <c r="F760" s="222"/>
      <c r="G760" s="155"/>
    </row>
    <row r="761" spans="2:8" ht="78" customHeight="1">
      <c r="B761" s="152"/>
      <c r="C761" s="152"/>
      <c r="D761" s="149"/>
      <c r="F761" s="154"/>
      <c r="G761" s="155"/>
      <c r="H761" s="154"/>
    </row>
    <row r="762" spans="2:8" ht="78" customHeight="1">
      <c r="B762" s="152"/>
      <c r="C762" s="153"/>
      <c r="D762" s="149"/>
      <c r="F762" s="154"/>
      <c r="G762" s="155"/>
    </row>
    <row r="763" spans="2:8" ht="78" customHeight="1">
      <c r="B763" s="152"/>
      <c r="C763" s="152"/>
      <c r="D763" s="149"/>
      <c r="F763" s="222"/>
      <c r="G763" s="155"/>
      <c r="H763" s="154"/>
    </row>
    <row r="764" spans="2:8" ht="78" customHeight="1">
      <c r="B764" s="152"/>
      <c r="C764" s="152"/>
      <c r="D764" s="149"/>
      <c r="F764" s="222"/>
      <c r="G764" s="155"/>
      <c r="H764" s="154"/>
    </row>
    <row r="765" spans="2:8" ht="78" customHeight="1">
      <c r="B765" s="152"/>
      <c r="C765" s="153"/>
      <c r="D765" s="149"/>
      <c r="F765" s="244"/>
      <c r="G765" s="155"/>
    </row>
    <row r="766" spans="2:8" ht="78" customHeight="1">
      <c r="B766" s="152"/>
      <c r="C766" s="153"/>
      <c r="D766" s="149"/>
      <c r="F766" s="154"/>
      <c r="G766" s="155"/>
    </row>
    <row r="767" spans="2:8" ht="78" customHeight="1">
      <c r="B767" s="152"/>
      <c r="C767" s="153"/>
      <c r="D767" s="149"/>
      <c r="F767" s="154"/>
      <c r="G767" s="155"/>
    </row>
    <row r="768" spans="2:8" ht="78" customHeight="1">
      <c r="B768" s="152"/>
      <c r="C768" s="152"/>
      <c r="D768" s="149"/>
      <c r="F768" s="222"/>
      <c r="G768" s="155"/>
    </row>
    <row r="769" spans="2:8" ht="78" customHeight="1">
      <c r="B769" s="152"/>
      <c r="C769" s="152"/>
      <c r="D769" s="149"/>
      <c r="F769" s="222"/>
      <c r="G769" s="155"/>
    </row>
    <row r="770" spans="2:8" ht="78" customHeight="1">
      <c r="B770" s="152"/>
      <c r="C770" s="152"/>
      <c r="D770" s="149"/>
      <c r="F770" s="154"/>
      <c r="G770" s="155"/>
    </row>
    <row r="771" spans="2:8" ht="78" customHeight="1">
      <c r="B771" s="152"/>
      <c r="C771" s="152"/>
      <c r="D771" s="149"/>
      <c r="F771" s="222"/>
      <c r="G771" s="155"/>
    </row>
    <row r="772" spans="2:8" ht="78" customHeight="1">
      <c r="B772" s="152"/>
      <c r="C772" s="152"/>
      <c r="D772" s="149"/>
      <c r="F772" s="222"/>
      <c r="G772" s="155"/>
    </row>
    <row r="773" spans="2:8" ht="78" customHeight="1">
      <c r="B773" s="152"/>
      <c r="C773" s="152"/>
      <c r="D773" s="149"/>
      <c r="F773" s="154"/>
      <c r="G773" s="155"/>
    </row>
    <row r="774" spans="2:8" ht="78" customHeight="1">
      <c r="B774" s="152"/>
      <c r="C774" s="152"/>
      <c r="D774" s="149"/>
      <c r="F774" s="154"/>
      <c r="G774" s="155"/>
    </row>
    <row r="775" spans="2:8" ht="78" customHeight="1">
      <c r="B775" s="152"/>
      <c r="C775" s="152"/>
      <c r="D775" s="149"/>
      <c r="F775" s="154"/>
      <c r="G775" s="155"/>
    </row>
    <row r="776" spans="2:8" ht="78" customHeight="1">
      <c r="B776" s="152"/>
      <c r="C776" s="153"/>
      <c r="D776" s="149"/>
      <c r="F776" s="154"/>
      <c r="G776" s="155"/>
      <c r="H776" s="154"/>
    </row>
    <row r="777" spans="2:8" ht="78" customHeight="1">
      <c r="B777" s="152"/>
      <c r="C777" s="152"/>
      <c r="D777" s="149"/>
      <c r="F777" s="222"/>
      <c r="G777" s="155"/>
    </row>
    <row r="778" spans="2:8" ht="78" customHeight="1">
      <c r="B778" s="152"/>
      <c r="C778" s="152"/>
      <c r="D778" s="149"/>
      <c r="G778" s="155"/>
      <c r="H778" s="154"/>
    </row>
    <row r="779" spans="2:8" ht="78" customHeight="1">
      <c r="B779" s="152"/>
      <c r="C779" s="152"/>
      <c r="D779" s="149"/>
      <c r="F779" s="154"/>
      <c r="G779" s="155"/>
    </row>
    <row r="780" spans="2:8" ht="78" customHeight="1">
      <c r="B780" s="152"/>
      <c r="C780" s="152"/>
      <c r="D780" s="149"/>
      <c r="F780" s="154"/>
      <c r="G780" s="155"/>
    </row>
    <row r="781" spans="2:8" ht="78" customHeight="1">
      <c r="B781" s="152"/>
      <c r="C781" s="152"/>
      <c r="D781" s="149"/>
      <c r="F781" s="154"/>
      <c r="G781" s="155"/>
    </row>
    <row r="782" spans="2:8" ht="78" customHeight="1">
      <c r="B782" s="152"/>
      <c r="C782" s="153"/>
      <c r="D782" s="149"/>
      <c r="F782" s="154"/>
      <c r="G782" s="155"/>
      <c r="H782" s="154"/>
    </row>
    <row r="783" spans="2:8" ht="78" customHeight="1">
      <c r="B783" s="152"/>
      <c r="C783" s="153"/>
      <c r="D783" s="149"/>
      <c r="F783" s="154"/>
      <c r="G783" s="155"/>
    </row>
    <row r="784" spans="2:8" ht="78" customHeight="1">
      <c r="B784" s="152"/>
      <c r="C784" s="152"/>
      <c r="D784" s="149"/>
      <c r="F784" s="154"/>
      <c r="G784" s="155"/>
    </row>
    <row r="785" spans="2:8" ht="78" customHeight="1">
      <c r="B785" s="152"/>
      <c r="C785" s="152"/>
      <c r="D785" s="149"/>
      <c r="F785" s="222"/>
      <c r="G785" s="155"/>
    </row>
    <row r="786" spans="2:8" ht="78" customHeight="1">
      <c r="B786" s="152"/>
      <c r="C786" s="152"/>
      <c r="D786" s="149"/>
      <c r="F786" s="222"/>
      <c r="G786" s="155"/>
    </row>
    <row r="787" spans="2:8" ht="78" customHeight="1">
      <c r="B787" s="152"/>
      <c r="C787" s="152"/>
      <c r="D787" s="149"/>
      <c r="F787" s="154"/>
      <c r="G787" s="155"/>
    </row>
    <row r="788" spans="2:8" ht="78" customHeight="1">
      <c r="B788" s="152"/>
      <c r="C788" s="152"/>
      <c r="D788" s="149"/>
      <c r="F788" s="154"/>
      <c r="G788" s="155"/>
    </row>
    <row r="789" spans="2:8" ht="78" customHeight="1">
      <c r="B789" s="152"/>
      <c r="C789" s="152"/>
      <c r="D789" s="149"/>
      <c r="F789" s="154"/>
      <c r="G789" s="155"/>
    </row>
    <row r="790" spans="2:8" ht="78" customHeight="1">
      <c r="B790" s="152"/>
      <c r="C790" s="152"/>
      <c r="D790" s="149"/>
      <c r="F790" s="154"/>
      <c r="G790" s="155"/>
    </row>
    <row r="791" spans="2:8" ht="78" customHeight="1">
      <c r="B791" s="152"/>
      <c r="C791" s="152"/>
      <c r="D791" s="149"/>
      <c r="F791" s="154"/>
      <c r="G791" s="155"/>
    </row>
    <row r="792" spans="2:8" ht="78" customHeight="1">
      <c r="B792" s="152"/>
      <c r="C792" s="152"/>
      <c r="D792" s="149"/>
      <c r="F792" s="154"/>
      <c r="G792" s="155"/>
    </row>
    <row r="793" spans="2:8" ht="78" customHeight="1">
      <c r="B793" s="152"/>
      <c r="C793" s="153"/>
      <c r="D793" s="149"/>
      <c r="F793" s="154"/>
      <c r="G793" s="155"/>
    </row>
    <row r="794" spans="2:8" ht="78" customHeight="1">
      <c r="B794" s="152"/>
      <c r="C794" s="152"/>
      <c r="D794" s="149"/>
      <c r="G794" s="155"/>
      <c r="H794" s="154"/>
    </row>
    <row r="795" spans="2:8" ht="78" customHeight="1">
      <c r="B795" s="152"/>
      <c r="C795" s="152"/>
      <c r="D795" s="149"/>
      <c r="G795" s="155"/>
    </row>
    <row r="796" spans="2:8" ht="78" customHeight="1">
      <c r="B796" s="152"/>
      <c r="C796" s="153"/>
      <c r="D796" s="149"/>
      <c r="F796" s="154"/>
      <c r="G796" s="155"/>
    </row>
    <row r="797" spans="2:8" ht="78" customHeight="1">
      <c r="B797" s="152"/>
      <c r="C797" s="152"/>
      <c r="D797" s="149"/>
      <c r="F797" s="154"/>
      <c r="G797" s="155"/>
      <c r="H797" s="154"/>
    </row>
    <row r="798" spans="2:8" ht="78" customHeight="1">
      <c r="B798" s="152"/>
      <c r="C798" s="152"/>
      <c r="D798" s="149"/>
      <c r="F798" s="154"/>
      <c r="G798" s="155"/>
    </row>
    <row r="799" spans="2:8" ht="78" customHeight="1">
      <c r="B799" s="152"/>
      <c r="C799" s="152"/>
      <c r="D799" s="149"/>
      <c r="F799" s="154"/>
      <c r="G799" s="155"/>
    </row>
    <row r="800" spans="2:8" ht="78" customHeight="1">
      <c r="B800" s="152"/>
      <c r="C800" s="152"/>
      <c r="D800" s="149"/>
      <c r="F800" s="154"/>
      <c r="G800" s="155"/>
      <c r="H800" s="154"/>
    </row>
    <row r="801" spans="2:8" ht="78" customHeight="1">
      <c r="B801" s="152"/>
      <c r="C801" s="152"/>
      <c r="D801" s="149"/>
      <c r="F801" s="154"/>
      <c r="G801" s="155"/>
    </row>
    <row r="802" spans="2:8" ht="78" customHeight="1">
      <c r="B802" s="152"/>
      <c r="C802" s="152"/>
      <c r="D802" s="149"/>
      <c r="G802" s="155"/>
      <c r="H802" s="154"/>
    </row>
    <row r="803" spans="2:8" ht="78" customHeight="1">
      <c r="B803" s="152"/>
      <c r="C803" s="152"/>
      <c r="D803" s="149"/>
      <c r="F803" s="154"/>
      <c r="G803" s="155"/>
    </row>
    <row r="804" spans="2:8" ht="78" customHeight="1">
      <c r="B804" s="152"/>
      <c r="C804" s="152"/>
      <c r="D804" s="149"/>
      <c r="F804" s="154"/>
      <c r="G804" s="155"/>
    </row>
    <row r="805" spans="2:8" ht="78" customHeight="1">
      <c r="B805" s="152"/>
      <c r="C805" s="152"/>
      <c r="D805" s="149"/>
      <c r="F805" s="154"/>
      <c r="G805" s="155"/>
      <c r="H805" s="154"/>
    </row>
    <row r="806" spans="2:8" ht="78" customHeight="1">
      <c r="B806" s="152"/>
      <c r="C806" s="152"/>
      <c r="D806" s="149"/>
      <c r="F806" s="154"/>
      <c r="G806" s="155"/>
    </row>
    <row r="807" spans="2:8" ht="78" customHeight="1">
      <c r="B807" s="152"/>
      <c r="C807" s="152"/>
      <c r="D807" s="149"/>
      <c r="F807" s="154"/>
      <c r="G807" s="155"/>
    </row>
    <row r="808" spans="2:8" ht="78" customHeight="1">
      <c r="B808" s="152"/>
      <c r="C808" s="152"/>
      <c r="D808" s="149"/>
      <c r="F808" s="154"/>
      <c r="G808" s="155"/>
    </row>
    <row r="809" spans="2:8" ht="78" customHeight="1">
      <c r="B809" s="152"/>
      <c r="C809" s="152"/>
      <c r="D809" s="149"/>
      <c r="F809" s="154"/>
      <c r="G809" s="155"/>
    </row>
    <row r="810" spans="2:8" ht="78" customHeight="1">
      <c r="B810" s="152"/>
      <c r="C810" s="152"/>
      <c r="D810" s="149"/>
      <c r="F810" s="154"/>
      <c r="G810" s="155"/>
    </row>
    <row r="811" spans="2:8" ht="78" customHeight="1">
      <c r="B811" s="152"/>
      <c r="C811" s="152"/>
      <c r="D811" s="149"/>
      <c r="F811" s="154"/>
      <c r="G811" s="155"/>
    </row>
    <row r="812" spans="2:8" ht="78" customHeight="1">
      <c r="B812" s="152"/>
      <c r="C812" s="153"/>
      <c r="D812" s="149"/>
      <c r="G812" s="155"/>
      <c r="H812" s="154"/>
    </row>
    <row r="813" spans="2:8" ht="78" customHeight="1">
      <c r="B813" s="152"/>
      <c r="C813" s="153"/>
      <c r="D813" s="149"/>
      <c r="G813" s="155"/>
    </row>
    <row r="814" spans="2:8" ht="78" customHeight="1">
      <c r="B814" s="152"/>
      <c r="C814" s="152"/>
      <c r="D814" s="149"/>
      <c r="G814" s="155"/>
    </row>
    <row r="815" spans="2:8" ht="78" customHeight="1">
      <c r="B815" s="152"/>
      <c r="C815" s="152"/>
      <c r="D815" s="149"/>
      <c r="G815" s="155"/>
      <c r="H815" s="154"/>
    </row>
    <row r="816" spans="2:8" ht="78" customHeight="1">
      <c r="B816" s="152"/>
      <c r="C816" s="152"/>
      <c r="D816" s="149"/>
      <c r="F816" s="154"/>
      <c r="G816" s="155"/>
    </row>
    <row r="817" spans="2:8" ht="78" customHeight="1">
      <c r="B817" s="152"/>
      <c r="C817" s="152"/>
      <c r="D817" s="149"/>
      <c r="F817" s="154"/>
      <c r="G817" s="155"/>
    </row>
    <row r="818" spans="2:8" ht="78" customHeight="1">
      <c r="B818" s="152"/>
      <c r="C818" s="152"/>
      <c r="D818" s="149"/>
      <c r="F818" s="154"/>
      <c r="G818" s="155"/>
    </row>
    <row r="819" spans="2:8" ht="78" customHeight="1">
      <c r="B819" s="152"/>
      <c r="C819" s="153"/>
      <c r="D819" s="149"/>
      <c r="F819" s="154"/>
      <c r="G819" s="155"/>
      <c r="H819" s="154"/>
    </row>
    <row r="820" spans="2:8" ht="78" customHeight="1">
      <c r="B820" s="152"/>
      <c r="C820" s="152"/>
      <c r="D820" s="149"/>
      <c r="F820" s="154"/>
      <c r="G820" s="155"/>
    </row>
    <row r="821" spans="2:8" ht="78" customHeight="1">
      <c r="B821" s="152"/>
      <c r="C821" s="152"/>
      <c r="D821" s="149"/>
      <c r="F821" s="154"/>
      <c r="G821" s="155"/>
    </row>
    <row r="822" spans="2:8" ht="78" customHeight="1">
      <c r="B822" s="152"/>
      <c r="C822" s="153"/>
      <c r="D822" s="149"/>
      <c r="G822" s="155"/>
    </row>
    <row r="823" spans="2:8" ht="78" customHeight="1">
      <c r="B823" s="152"/>
      <c r="C823" s="152"/>
      <c r="D823" s="149"/>
      <c r="F823" s="154"/>
      <c r="G823" s="155"/>
      <c r="H823" s="154"/>
    </row>
    <row r="824" spans="2:8" ht="78" customHeight="1">
      <c r="B824" s="152"/>
      <c r="C824" s="152"/>
      <c r="D824" s="149"/>
      <c r="F824" s="154"/>
      <c r="G824" s="155"/>
    </row>
    <row r="825" spans="2:8" ht="78" customHeight="1">
      <c r="B825" s="152"/>
      <c r="C825" s="152"/>
      <c r="D825" s="149"/>
      <c r="F825" s="154"/>
      <c r="G825" s="155"/>
    </row>
    <row r="826" spans="2:8" ht="78" customHeight="1">
      <c r="B826" s="152"/>
      <c r="C826" s="152"/>
      <c r="D826" s="149"/>
      <c r="F826" s="154"/>
      <c r="G826" s="155"/>
    </row>
    <row r="827" spans="2:8" ht="78" customHeight="1">
      <c r="B827" s="152"/>
      <c r="C827" s="153"/>
      <c r="D827" s="149"/>
      <c r="F827" s="154"/>
      <c r="G827" s="155"/>
    </row>
    <row r="828" spans="2:8" ht="78" customHeight="1">
      <c r="B828" s="152"/>
      <c r="C828" s="152"/>
      <c r="D828" s="149"/>
      <c r="F828" s="222"/>
      <c r="G828" s="155"/>
    </row>
    <row r="829" spans="2:8" ht="78" customHeight="1">
      <c r="B829" s="152"/>
      <c r="C829" s="152"/>
      <c r="D829" s="149"/>
      <c r="F829" s="222"/>
      <c r="G829" s="155"/>
    </row>
    <row r="830" spans="2:8" ht="78" customHeight="1">
      <c r="B830" s="152"/>
      <c r="C830" s="153"/>
      <c r="D830" s="149"/>
      <c r="F830" s="154"/>
      <c r="G830" s="155"/>
    </row>
    <row r="831" spans="2:8" ht="78" customHeight="1">
      <c r="B831" s="152"/>
      <c r="C831" s="152"/>
      <c r="D831" s="149"/>
      <c r="F831" s="154"/>
      <c r="G831" s="155"/>
    </row>
    <row r="832" spans="2:8" ht="78" customHeight="1">
      <c r="B832" s="152"/>
      <c r="C832" s="153"/>
      <c r="D832" s="149"/>
      <c r="F832" s="154"/>
      <c r="G832" s="155"/>
    </row>
    <row r="833" spans="1:9" ht="78" customHeight="1">
      <c r="B833" s="152"/>
      <c r="C833" s="152"/>
      <c r="D833" s="149"/>
      <c r="F833" s="222"/>
      <c r="G833" s="155"/>
    </row>
    <row r="834" spans="1:9" ht="78" customHeight="1">
      <c r="B834" s="152"/>
      <c r="C834" s="152"/>
      <c r="D834" s="149"/>
      <c r="F834" s="222"/>
      <c r="G834" s="155"/>
      <c r="H834" s="154"/>
    </row>
    <row r="835" spans="1:9" ht="78" customHeight="1">
      <c r="B835" s="152"/>
      <c r="C835" s="152"/>
      <c r="D835" s="149"/>
      <c r="F835" s="154"/>
      <c r="G835" s="155"/>
    </row>
    <row r="836" spans="1:9" ht="78" customHeight="1">
      <c r="B836" s="152"/>
      <c r="C836" s="153"/>
      <c r="D836" s="149"/>
      <c r="F836" s="154"/>
      <c r="G836" s="155"/>
    </row>
    <row r="837" spans="1:9" ht="78" customHeight="1">
      <c r="B837" s="152"/>
      <c r="C837" s="153"/>
      <c r="D837" s="149"/>
      <c r="F837" s="154"/>
      <c r="G837" s="155"/>
      <c r="H837" s="154"/>
    </row>
    <row r="838" spans="1:9" ht="78" customHeight="1">
      <c r="B838" s="152"/>
      <c r="C838" s="153"/>
      <c r="D838" s="149"/>
      <c r="F838" s="154"/>
      <c r="G838" s="155"/>
    </row>
    <row r="839" spans="1:9" ht="78" customHeight="1">
      <c r="B839" s="152"/>
      <c r="C839" s="152"/>
      <c r="D839" s="149"/>
      <c r="F839" s="222"/>
      <c r="G839" s="155"/>
    </row>
    <row r="840" spans="1:9" ht="78" customHeight="1">
      <c r="B840" s="152"/>
      <c r="C840" s="152"/>
      <c r="D840" s="149"/>
      <c r="F840" s="222"/>
      <c r="G840" s="155"/>
    </row>
    <row r="841" spans="1:9" ht="78" customHeight="1">
      <c r="A841" s="290"/>
      <c r="B841" s="153"/>
      <c r="C841" s="152"/>
      <c r="D841" s="149"/>
      <c r="F841" s="291"/>
      <c r="G841" s="155"/>
      <c r="H841" s="291"/>
      <c r="I841" s="292"/>
    </row>
    <row r="842" spans="1:9" ht="78" customHeight="1">
      <c r="A842" s="290"/>
      <c r="B842" s="153"/>
      <c r="C842" s="152"/>
      <c r="D842" s="149"/>
      <c r="F842" s="291"/>
      <c r="G842" s="155"/>
      <c r="H842" s="291"/>
      <c r="I842" s="292"/>
    </row>
    <row r="843" spans="1:9" ht="78" customHeight="1">
      <c r="A843" s="290"/>
      <c r="B843" s="153"/>
      <c r="C843" s="152"/>
      <c r="D843" s="149"/>
      <c r="F843" s="291"/>
      <c r="G843" s="155"/>
      <c r="H843" s="291"/>
      <c r="I843" s="292"/>
    </row>
    <row r="844" spans="1:9" ht="78" customHeight="1">
      <c r="A844" s="290"/>
      <c r="B844" s="153"/>
      <c r="C844" s="153"/>
      <c r="D844" s="149"/>
      <c r="F844" s="222"/>
      <c r="G844" s="155"/>
      <c r="H844" s="291"/>
      <c r="I844" s="292"/>
    </row>
    <row r="845" spans="1:9" ht="78" customHeight="1">
      <c r="A845" s="290"/>
      <c r="B845" s="153"/>
      <c r="C845" s="153"/>
      <c r="D845" s="149"/>
      <c r="F845" s="222"/>
      <c r="G845" s="155"/>
      <c r="H845" s="293"/>
      <c r="I845" s="292"/>
    </row>
    <row r="846" spans="1:9" ht="78" customHeight="1">
      <c r="B846" s="152"/>
      <c r="C846" s="153"/>
      <c r="D846" s="149"/>
      <c r="F846" s="154"/>
      <c r="G846" s="155"/>
    </row>
    <row r="847" spans="1:9" ht="78" customHeight="1">
      <c r="B847" s="152"/>
      <c r="C847" s="153"/>
      <c r="D847" s="149"/>
      <c r="F847" s="154"/>
      <c r="G847" s="155"/>
    </row>
    <row r="848" spans="1:9" ht="78" customHeight="1">
      <c r="B848" s="152"/>
      <c r="C848" s="152"/>
      <c r="D848" s="149"/>
      <c r="F848" s="222"/>
      <c r="G848" s="155"/>
    </row>
    <row r="849" spans="2:8" ht="78" customHeight="1">
      <c r="B849" s="152"/>
      <c r="C849" s="152"/>
      <c r="D849" s="149"/>
      <c r="F849" s="222"/>
      <c r="G849" s="155"/>
      <c r="H849" s="154"/>
    </row>
    <row r="850" spans="2:8" ht="78" customHeight="1">
      <c r="B850" s="152"/>
      <c r="C850" s="152"/>
      <c r="D850" s="149"/>
      <c r="F850" s="154"/>
      <c r="G850" s="155"/>
    </row>
    <row r="851" spans="2:8" ht="78" customHeight="1">
      <c r="B851" s="152"/>
      <c r="C851" s="152"/>
      <c r="D851" s="149"/>
      <c r="F851" s="154"/>
      <c r="G851" s="155"/>
    </row>
    <row r="852" spans="2:8" ht="78" customHeight="1">
      <c r="B852" s="152"/>
      <c r="C852" s="152"/>
      <c r="D852" s="149"/>
      <c r="F852" s="154"/>
      <c r="G852" s="155"/>
    </row>
    <row r="853" spans="2:8" ht="78" customHeight="1">
      <c r="B853" s="152"/>
      <c r="C853" s="153"/>
      <c r="D853" s="149"/>
      <c r="F853" s="154"/>
      <c r="G853" s="155"/>
    </row>
    <row r="854" spans="2:8" ht="78" customHeight="1">
      <c r="B854" s="152"/>
      <c r="C854" s="152"/>
      <c r="D854" s="149"/>
      <c r="F854" s="154"/>
      <c r="G854" s="155"/>
    </row>
    <row r="855" spans="2:8" ht="78" customHeight="1">
      <c r="B855" s="152"/>
      <c r="C855" s="153"/>
      <c r="D855" s="149"/>
      <c r="F855" s="154"/>
      <c r="G855" s="155"/>
    </row>
    <row r="856" spans="2:8" ht="78" customHeight="1">
      <c r="B856" s="152"/>
      <c r="C856" s="152"/>
      <c r="D856" s="149"/>
      <c r="F856" s="222"/>
      <c r="G856" s="155"/>
    </row>
    <row r="857" spans="2:8" ht="78" customHeight="1">
      <c r="B857" s="152"/>
      <c r="C857" s="152"/>
      <c r="D857" s="149"/>
      <c r="F857" s="222"/>
      <c r="G857" s="155"/>
    </row>
    <row r="858" spans="2:8" ht="78" customHeight="1">
      <c r="B858" s="152"/>
      <c r="C858" s="153"/>
      <c r="D858" s="149"/>
      <c r="F858" s="154"/>
      <c r="G858" s="155"/>
      <c r="H858" s="154"/>
    </row>
    <row r="859" spans="2:8" ht="78" customHeight="1">
      <c r="B859" s="152"/>
      <c r="C859" s="152"/>
      <c r="D859" s="149"/>
      <c r="F859" s="154"/>
      <c r="G859" s="155"/>
    </row>
    <row r="860" spans="2:8" ht="78" customHeight="1">
      <c r="B860" s="152"/>
      <c r="C860" s="153"/>
      <c r="D860" s="149"/>
      <c r="F860" s="154"/>
      <c r="G860" s="155"/>
    </row>
    <row r="861" spans="2:8" ht="78" customHeight="1">
      <c r="B861" s="152"/>
      <c r="C861" s="153"/>
      <c r="D861" s="149"/>
      <c r="F861" s="154"/>
      <c r="G861" s="155"/>
      <c r="H861" s="154"/>
    </row>
    <row r="862" spans="2:8" ht="78" customHeight="1">
      <c r="B862" s="152"/>
      <c r="C862" s="153"/>
      <c r="D862" s="149"/>
      <c r="F862" s="154"/>
      <c r="G862" s="155"/>
    </row>
    <row r="863" spans="2:8" ht="78" customHeight="1">
      <c r="B863" s="152"/>
      <c r="C863" s="153"/>
      <c r="D863" s="149"/>
      <c r="F863" s="154"/>
      <c r="G863" s="155"/>
    </row>
    <row r="864" spans="2:8" ht="78" customHeight="1">
      <c r="B864" s="152"/>
      <c r="C864" s="153"/>
      <c r="D864" s="149"/>
      <c r="F864" s="154"/>
      <c r="G864" s="155"/>
    </row>
    <row r="865" spans="2:8" ht="78" customHeight="1">
      <c r="B865" s="152"/>
      <c r="C865" s="153"/>
      <c r="D865" s="149"/>
      <c r="F865" s="154"/>
      <c r="G865" s="155"/>
    </row>
    <row r="866" spans="2:8" ht="78" customHeight="1">
      <c r="B866" s="152"/>
      <c r="C866" s="153"/>
      <c r="D866" s="149"/>
      <c r="F866" s="154"/>
      <c r="G866" s="155"/>
    </row>
    <row r="867" spans="2:8" ht="78" customHeight="1">
      <c r="B867" s="152"/>
      <c r="C867" s="153"/>
      <c r="D867" s="149"/>
      <c r="G867" s="155"/>
    </row>
    <row r="868" spans="2:8" ht="78" customHeight="1">
      <c r="B868" s="152"/>
      <c r="C868" s="153"/>
      <c r="D868" s="149"/>
      <c r="F868" s="154"/>
      <c r="G868" s="155"/>
    </row>
    <row r="869" spans="2:8" ht="78" customHeight="1">
      <c r="B869" s="152"/>
      <c r="C869" s="153"/>
      <c r="D869" s="149"/>
      <c r="F869" s="154"/>
      <c r="G869" s="155"/>
    </row>
    <row r="870" spans="2:8" ht="78" customHeight="1">
      <c r="B870" s="152"/>
      <c r="C870" s="153"/>
      <c r="D870" s="149"/>
      <c r="F870" s="154"/>
      <c r="G870" s="155"/>
    </row>
    <row r="871" spans="2:8" ht="78" customHeight="1">
      <c r="B871" s="152"/>
      <c r="C871" s="153"/>
      <c r="D871" s="149"/>
      <c r="G871" s="155"/>
    </row>
    <row r="872" spans="2:8" ht="78" customHeight="1">
      <c r="B872" s="152"/>
      <c r="C872" s="153"/>
      <c r="D872" s="149"/>
      <c r="F872" s="154"/>
      <c r="G872" s="155"/>
      <c r="H872" s="154"/>
    </row>
    <row r="873" spans="2:8" ht="78" customHeight="1">
      <c r="B873" s="152"/>
      <c r="C873" s="152"/>
      <c r="D873" s="149"/>
      <c r="G873" s="155"/>
    </row>
    <row r="874" spans="2:8" ht="78" customHeight="1">
      <c r="B874" s="152"/>
      <c r="C874" s="152"/>
      <c r="D874" s="149"/>
      <c r="G874" s="155"/>
    </row>
    <row r="875" spans="2:8" ht="78" customHeight="1">
      <c r="B875" s="152"/>
      <c r="C875" s="152"/>
      <c r="D875" s="149"/>
      <c r="G875" s="155"/>
    </row>
    <row r="876" spans="2:8" ht="78" customHeight="1">
      <c r="B876" s="152"/>
      <c r="C876" s="152"/>
      <c r="D876" s="149"/>
      <c r="G876" s="155"/>
    </row>
    <row r="877" spans="2:8" ht="78" customHeight="1">
      <c r="B877" s="152"/>
      <c r="C877" s="153"/>
      <c r="D877" s="149"/>
      <c r="F877" s="154"/>
      <c r="G877" s="155"/>
    </row>
    <row r="878" spans="2:8" ht="78" customHeight="1">
      <c r="B878" s="152"/>
      <c r="C878" s="152"/>
      <c r="D878" s="149"/>
      <c r="G878" s="155"/>
      <c r="H878" s="154"/>
    </row>
    <row r="879" spans="2:8" ht="78" customHeight="1">
      <c r="B879" s="152"/>
      <c r="C879" s="152"/>
      <c r="D879" s="149"/>
      <c r="F879" s="154"/>
      <c r="G879" s="155"/>
      <c r="H879" s="154"/>
    </row>
    <row r="880" spans="2:8" ht="78" customHeight="1">
      <c r="B880" s="152"/>
      <c r="C880" s="153"/>
      <c r="D880" s="149"/>
      <c r="F880" s="154"/>
      <c r="G880" s="155"/>
    </row>
    <row r="881" spans="2:8" ht="78" customHeight="1">
      <c r="B881" s="152"/>
      <c r="C881" s="152"/>
      <c r="D881" s="149"/>
      <c r="F881" s="154"/>
      <c r="G881" s="155"/>
      <c r="H881" s="154"/>
    </row>
    <row r="882" spans="2:8" ht="78" customHeight="1">
      <c r="B882" s="152"/>
      <c r="C882" s="152"/>
      <c r="D882" s="149"/>
      <c r="F882" s="154"/>
      <c r="G882" s="155"/>
    </row>
    <row r="883" spans="2:8" ht="78" customHeight="1">
      <c r="B883" s="152"/>
      <c r="C883" s="152"/>
      <c r="D883" s="149"/>
      <c r="F883" s="154"/>
      <c r="G883" s="155"/>
      <c r="H883" s="154"/>
    </row>
    <row r="884" spans="2:8" ht="78" customHeight="1">
      <c r="B884" s="152"/>
      <c r="C884" s="152"/>
      <c r="D884" s="149"/>
      <c r="G884" s="155"/>
      <c r="H884" s="154"/>
    </row>
    <row r="885" spans="2:8" ht="78" customHeight="1">
      <c r="B885" s="152"/>
      <c r="C885" s="152"/>
      <c r="D885" s="149"/>
      <c r="F885" s="154"/>
      <c r="G885" s="155"/>
    </row>
    <row r="886" spans="2:8" ht="78" customHeight="1">
      <c r="B886" s="152"/>
      <c r="C886" s="153"/>
      <c r="D886" s="149"/>
      <c r="F886" s="154"/>
      <c r="G886" s="155"/>
    </row>
    <row r="887" spans="2:8" ht="78" customHeight="1">
      <c r="B887" s="152"/>
      <c r="C887" s="152"/>
      <c r="D887" s="149"/>
      <c r="G887" s="155"/>
      <c r="H887" s="154"/>
    </row>
    <row r="888" spans="2:8" ht="78" customHeight="1">
      <c r="B888" s="152"/>
      <c r="C888" s="153"/>
      <c r="D888" s="149"/>
      <c r="F888" s="154"/>
      <c r="G888" s="155"/>
      <c r="H888" s="154"/>
    </row>
    <row r="889" spans="2:8" ht="78" customHeight="1">
      <c r="B889" s="152"/>
      <c r="C889" s="152"/>
      <c r="D889" s="149"/>
      <c r="F889" s="154"/>
      <c r="G889" s="155"/>
    </row>
    <row r="890" spans="2:8" ht="78" customHeight="1">
      <c r="B890" s="152"/>
      <c r="C890" s="152"/>
      <c r="D890" s="149"/>
      <c r="F890" s="154"/>
      <c r="G890" s="155"/>
    </row>
    <row r="891" spans="2:8" ht="78" customHeight="1">
      <c r="B891" s="152"/>
      <c r="C891" s="152"/>
      <c r="D891" s="149"/>
      <c r="F891" s="154"/>
      <c r="G891" s="155"/>
    </row>
    <row r="892" spans="2:8" ht="78" customHeight="1">
      <c r="B892" s="152"/>
      <c r="C892" s="152"/>
      <c r="D892" s="149"/>
      <c r="F892" s="154"/>
      <c r="G892" s="155"/>
    </row>
    <row r="893" spans="2:8" ht="78" customHeight="1">
      <c r="B893" s="152"/>
      <c r="C893" s="152"/>
      <c r="D893" s="149"/>
      <c r="F893" s="154"/>
      <c r="G893" s="155"/>
    </row>
    <row r="894" spans="2:8" ht="78" customHeight="1">
      <c r="B894" s="152"/>
      <c r="C894" s="152"/>
      <c r="D894" s="149"/>
      <c r="F894" s="154"/>
      <c r="G894" s="155"/>
    </row>
    <row r="895" spans="2:8" ht="78" customHeight="1">
      <c r="B895" s="152"/>
      <c r="C895" s="152"/>
      <c r="D895" s="149"/>
      <c r="F895" s="154"/>
      <c r="G895" s="155"/>
    </row>
    <row r="896" spans="2:8" ht="78" customHeight="1">
      <c r="B896" s="152"/>
      <c r="C896" s="152"/>
      <c r="D896" s="149"/>
      <c r="F896" s="154"/>
      <c r="G896" s="155"/>
    </row>
    <row r="897" spans="2:8" ht="78" customHeight="1">
      <c r="B897" s="152"/>
      <c r="C897" s="152"/>
      <c r="D897" s="149"/>
      <c r="F897" s="154"/>
      <c r="G897" s="155"/>
    </row>
    <row r="898" spans="2:8" ht="78" customHeight="1">
      <c r="B898" s="152"/>
      <c r="C898" s="152"/>
      <c r="D898" s="280"/>
      <c r="G898" s="155"/>
      <c r="H898" s="154"/>
    </row>
    <row r="899" spans="2:8" ht="78" customHeight="1">
      <c r="B899" s="152"/>
      <c r="C899" s="152"/>
      <c r="D899" s="149"/>
      <c r="G899" s="155"/>
    </row>
    <row r="900" spans="2:8" ht="78" customHeight="1">
      <c r="B900" s="152"/>
      <c r="C900" s="152"/>
      <c r="D900" s="149"/>
      <c r="G900" s="155"/>
      <c r="H900" s="154"/>
    </row>
    <row r="901" spans="2:8" ht="78" customHeight="1">
      <c r="B901" s="152"/>
      <c r="C901" s="152"/>
      <c r="D901" s="149"/>
      <c r="F901" s="154"/>
      <c r="G901" s="155"/>
    </row>
    <row r="902" spans="2:8" ht="78" customHeight="1">
      <c r="B902" s="152"/>
      <c r="C902" s="152"/>
      <c r="D902" s="149"/>
      <c r="F902" s="154"/>
      <c r="G902" s="155"/>
    </row>
    <row r="903" spans="2:8" ht="78" customHeight="1">
      <c r="B903" s="152"/>
      <c r="C903" s="152"/>
      <c r="D903" s="149"/>
      <c r="F903" s="154"/>
      <c r="G903" s="155"/>
    </row>
    <row r="904" spans="2:8" ht="78" customHeight="1">
      <c r="B904" s="152"/>
      <c r="C904" s="152"/>
      <c r="D904" s="149"/>
      <c r="F904" s="154"/>
      <c r="G904" s="155"/>
    </row>
    <row r="905" spans="2:8" ht="78" customHeight="1">
      <c r="B905" s="152"/>
      <c r="C905" s="152"/>
      <c r="D905" s="149"/>
      <c r="F905" s="154"/>
      <c r="G905" s="155"/>
    </row>
    <row r="906" spans="2:8" ht="78" customHeight="1">
      <c r="B906" s="152"/>
      <c r="C906" s="152"/>
      <c r="D906" s="149"/>
      <c r="F906" s="294"/>
      <c r="G906" s="155"/>
    </row>
    <row r="907" spans="2:8" ht="78" customHeight="1">
      <c r="B907" s="152"/>
      <c r="C907" s="152"/>
      <c r="D907" s="149"/>
      <c r="F907" s="154"/>
      <c r="G907" s="155"/>
    </row>
    <row r="908" spans="2:8" ht="78" customHeight="1">
      <c r="B908" s="152"/>
      <c r="C908" s="152"/>
      <c r="D908" s="149"/>
      <c r="F908" s="154"/>
      <c r="G908" s="155"/>
      <c r="H908" s="154"/>
    </row>
    <row r="909" spans="2:8" ht="78" customHeight="1">
      <c r="B909" s="152"/>
      <c r="C909" s="153"/>
      <c r="D909" s="149"/>
      <c r="F909" s="154"/>
      <c r="G909" s="155"/>
    </row>
    <row r="910" spans="2:8" ht="78" customHeight="1">
      <c r="B910" s="152"/>
      <c r="C910" s="152"/>
      <c r="D910" s="149"/>
      <c r="G910" s="155"/>
      <c r="H910" s="154"/>
    </row>
    <row r="911" spans="2:8" ht="78" customHeight="1">
      <c r="B911" s="152"/>
      <c r="C911" s="152"/>
      <c r="D911" s="149"/>
      <c r="F911" s="154"/>
      <c r="G911" s="155"/>
    </row>
    <row r="912" spans="2:8" ht="78" customHeight="1">
      <c r="B912" s="152"/>
      <c r="C912" s="152"/>
      <c r="D912" s="149"/>
      <c r="G912" s="155"/>
      <c r="H912" s="154"/>
    </row>
    <row r="913" spans="2:7" ht="78" customHeight="1">
      <c r="B913" s="152"/>
      <c r="C913" s="152"/>
      <c r="D913" s="152"/>
      <c r="F913" s="154"/>
      <c r="G913" s="155"/>
    </row>
    <row r="914" spans="2:7" ht="78" customHeight="1">
      <c r="B914" s="152"/>
      <c r="C914" s="152"/>
      <c r="D914" s="149"/>
      <c r="F914" s="154"/>
      <c r="G914" s="155"/>
    </row>
    <row r="915" spans="2:7" ht="78" customHeight="1">
      <c r="B915" s="152"/>
      <c r="C915" s="152"/>
      <c r="D915" s="149"/>
      <c r="F915" s="154"/>
      <c r="G915" s="155"/>
    </row>
    <row r="916" spans="2:7" ht="78" customHeight="1">
      <c r="B916" s="152"/>
      <c r="C916" s="152"/>
      <c r="D916" s="149"/>
      <c r="F916" s="154"/>
      <c r="G916" s="155"/>
    </row>
    <row r="917" spans="2:7" ht="78" customHeight="1">
      <c r="B917" s="152"/>
      <c r="C917" s="152"/>
      <c r="D917" s="149"/>
      <c r="F917" s="154"/>
      <c r="G917" s="155"/>
    </row>
    <row r="918" spans="2:7" ht="78" customHeight="1">
      <c r="B918" s="152"/>
      <c r="C918" s="152"/>
      <c r="D918" s="149"/>
      <c r="F918" s="154"/>
      <c r="G918" s="155"/>
    </row>
    <row r="919" spans="2:7" ht="78" customHeight="1">
      <c r="B919" s="152"/>
      <c r="C919" s="153"/>
      <c r="D919" s="149"/>
      <c r="F919" s="154"/>
      <c r="G919" s="155"/>
    </row>
    <row r="920" spans="2:7" ht="78" customHeight="1">
      <c r="B920" s="152"/>
      <c r="C920" s="152"/>
      <c r="D920" s="149"/>
      <c r="F920" s="154"/>
      <c r="G920" s="155"/>
    </row>
    <row r="921" spans="2:7" ht="78" customHeight="1">
      <c r="B921" s="152"/>
      <c r="C921" s="152"/>
      <c r="D921" s="149"/>
      <c r="F921" s="154"/>
      <c r="G921" s="155"/>
    </row>
    <row r="922" spans="2:7" ht="78" customHeight="1">
      <c r="B922" s="152"/>
      <c r="C922" s="152"/>
      <c r="D922" s="149"/>
      <c r="F922" s="154"/>
      <c r="G922" s="155"/>
    </row>
    <row r="923" spans="2:7" ht="78" customHeight="1">
      <c r="B923" s="152"/>
      <c r="C923" s="152"/>
      <c r="D923" s="149"/>
      <c r="F923" s="154"/>
      <c r="G923" s="155"/>
    </row>
    <row r="924" spans="2:7" ht="78" customHeight="1">
      <c r="B924" s="152"/>
      <c r="C924" s="152"/>
      <c r="D924" s="149"/>
      <c r="F924" s="154"/>
      <c r="G924" s="155"/>
    </row>
    <row r="925" spans="2:7" ht="78" customHeight="1">
      <c r="B925" s="152"/>
      <c r="C925" s="152"/>
      <c r="D925" s="149"/>
      <c r="F925" s="154"/>
      <c r="G925" s="155"/>
    </row>
    <row r="926" spans="2:7" ht="78" customHeight="1">
      <c r="B926" s="152"/>
      <c r="C926" s="152"/>
      <c r="D926" s="149"/>
      <c r="F926" s="154"/>
      <c r="G926" s="155"/>
    </row>
    <row r="927" spans="2:7" ht="78" customHeight="1">
      <c r="B927" s="152"/>
      <c r="C927" s="153"/>
      <c r="D927" s="149"/>
      <c r="F927" s="154"/>
      <c r="G927" s="155"/>
    </row>
    <row r="928" spans="2:7" ht="78" customHeight="1">
      <c r="B928" s="152"/>
      <c r="C928" s="153"/>
      <c r="D928" s="149"/>
      <c r="F928" s="154"/>
      <c r="G928" s="155"/>
    </row>
    <row r="929" spans="2:8" ht="78" customHeight="1">
      <c r="B929" s="152"/>
      <c r="C929" s="153"/>
      <c r="D929" s="149"/>
      <c r="F929" s="154"/>
      <c r="G929" s="155"/>
    </row>
    <row r="930" spans="2:8" ht="78" customHeight="1">
      <c r="B930" s="152"/>
      <c r="C930" s="152"/>
      <c r="D930" s="149"/>
      <c r="F930" s="154"/>
      <c r="G930" s="155"/>
    </row>
    <row r="931" spans="2:8" ht="78" customHeight="1">
      <c r="B931" s="152"/>
      <c r="C931" s="153"/>
      <c r="D931" s="149"/>
      <c r="F931" s="154"/>
      <c r="G931" s="155"/>
    </row>
    <row r="932" spans="2:8" ht="78" customHeight="1">
      <c r="B932" s="152"/>
      <c r="C932" s="153"/>
      <c r="D932" s="149"/>
      <c r="F932" s="154"/>
      <c r="G932" s="155"/>
    </row>
    <row r="933" spans="2:8" ht="78" customHeight="1">
      <c r="B933" s="152"/>
      <c r="C933" s="153"/>
      <c r="D933" s="149"/>
      <c r="F933" s="154"/>
      <c r="G933" s="155"/>
      <c r="H933" s="154"/>
    </row>
    <row r="934" spans="2:8" ht="78" customHeight="1">
      <c r="B934" s="152"/>
      <c r="C934" s="152"/>
      <c r="D934" s="149"/>
      <c r="G934" s="155"/>
    </row>
    <row r="935" spans="2:8" ht="78" customHeight="1">
      <c r="B935" s="152"/>
      <c r="C935" s="152"/>
      <c r="D935" s="149"/>
      <c r="F935" s="222"/>
      <c r="G935" s="155"/>
    </row>
    <row r="936" spans="2:8" ht="78" customHeight="1">
      <c r="B936" s="152"/>
      <c r="C936" s="152"/>
      <c r="D936" s="149"/>
      <c r="F936" s="222"/>
      <c r="G936" s="155"/>
    </row>
    <row r="937" spans="2:8" ht="78" customHeight="1">
      <c r="B937" s="152"/>
      <c r="C937" s="152"/>
      <c r="D937" s="149"/>
      <c r="F937" s="222"/>
      <c r="G937" s="155"/>
    </row>
    <row r="938" spans="2:8" ht="78" customHeight="1">
      <c r="B938" s="152"/>
      <c r="C938" s="152"/>
      <c r="D938" s="149"/>
      <c r="F938" s="222"/>
      <c r="G938" s="155"/>
    </row>
    <row r="939" spans="2:8" ht="78" customHeight="1">
      <c r="B939" s="152"/>
      <c r="C939" s="152"/>
      <c r="D939" s="149"/>
      <c r="F939" s="222"/>
      <c r="G939" s="155"/>
    </row>
    <row r="940" spans="2:8" ht="78" customHeight="1">
      <c r="B940" s="152"/>
      <c r="C940" s="152"/>
      <c r="D940" s="149"/>
      <c r="F940" s="222"/>
      <c r="G940" s="155"/>
    </row>
    <row r="941" spans="2:8" ht="78" customHeight="1">
      <c r="B941" s="152"/>
      <c r="C941" s="152"/>
      <c r="D941" s="149"/>
      <c r="F941" s="222"/>
      <c r="G941" s="155"/>
    </row>
    <row r="942" spans="2:8" ht="78" customHeight="1">
      <c r="B942" s="152"/>
      <c r="C942" s="152"/>
      <c r="D942" s="149"/>
      <c r="F942" s="222"/>
      <c r="G942" s="155"/>
    </row>
    <row r="943" spans="2:8" ht="78" customHeight="1">
      <c r="B943" s="152"/>
      <c r="C943" s="152"/>
      <c r="D943" s="149"/>
      <c r="F943" s="222"/>
      <c r="G943" s="155"/>
    </row>
    <row r="944" spans="2:8" ht="78" customHeight="1">
      <c r="B944" s="152"/>
      <c r="C944" s="152"/>
      <c r="D944" s="149"/>
      <c r="F944" s="222"/>
      <c r="G944" s="155"/>
    </row>
    <row r="945" spans="2:8" ht="78" customHeight="1">
      <c r="B945" s="152"/>
      <c r="C945" s="152"/>
      <c r="D945" s="149"/>
      <c r="F945" s="222"/>
      <c r="G945" s="155"/>
    </row>
    <row r="946" spans="2:8" ht="78" customHeight="1">
      <c r="B946" s="152"/>
      <c r="C946" s="152"/>
      <c r="D946" s="149"/>
      <c r="F946" s="222"/>
      <c r="G946" s="155"/>
    </row>
    <row r="947" spans="2:8" ht="78" customHeight="1">
      <c r="B947" s="152"/>
      <c r="C947" s="152"/>
      <c r="D947" s="149"/>
      <c r="F947" s="222"/>
      <c r="G947" s="155"/>
    </row>
    <row r="948" spans="2:8" ht="78" customHeight="1">
      <c r="B948" s="152"/>
      <c r="C948" s="152"/>
      <c r="D948" s="149"/>
      <c r="F948" s="222"/>
      <c r="G948" s="155"/>
    </row>
    <row r="949" spans="2:8" ht="78" customHeight="1">
      <c r="B949" s="152"/>
      <c r="C949" s="152"/>
      <c r="D949" s="149"/>
      <c r="F949" s="222"/>
      <c r="G949" s="155"/>
    </row>
    <row r="950" spans="2:8" ht="78" customHeight="1">
      <c r="B950" s="152"/>
      <c r="C950" s="152"/>
      <c r="D950" s="149"/>
      <c r="F950" s="222"/>
      <c r="G950" s="155"/>
    </row>
    <row r="951" spans="2:8" ht="78" customHeight="1">
      <c r="B951" s="152"/>
      <c r="C951" s="152"/>
      <c r="D951" s="149"/>
      <c r="F951" s="222"/>
      <c r="G951" s="155"/>
    </row>
    <row r="952" spans="2:8" ht="78" customHeight="1">
      <c r="B952" s="152"/>
      <c r="C952" s="152"/>
      <c r="D952" s="149"/>
      <c r="F952" s="222"/>
      <c r="G952" s="155"/>
    </row>
    <row r="953" spans="2:8" ht="78" customHeight="1">
      <c r="B953" s="152"/>
      <c r="C953" s="152"/>
      <c r="D953" s="149"/>
      <c r="F953" s="222"/>
      <c r="G953" s="155"/>
    </row>
    <row r="954" spans="2:8" ht="78" customHeight="1">
      <c r="B954" s="152"/>
      <c r="C954" s="152"/>
      <c r="D954" s="149"/>
      <c r="F954" s="154"/>
      <c r="G954" s="155"/>
    </row>
    <row r="955" spans="2:8" ht="78" customHeight="1">
      <c r="B955" s="152"/>
      <c r="C955" s="152"/>
      <c r="D955" s="149"/>
      <c r="F955" s="154"/>
      <c r="G955" s="155"/>
      <c r="H955" s="154"/>
    </row>
    <row r="956" spans="2:8" ht="78" customHeight="1">
      <c r="B956" s="152"/>
      <c r="C956" s="152"/>
      <c r="D956" s="149"/>
      <c r="F956" s="154"/>
      <c r="G956" s="155"/>
      <c r="H956" s="154"/>
    </row>
    <row r="957" spans="2:8" ht="78" customHeight="1">
      <c r="B957" s="152"/>
      <c r="C957" s="152"/>
      <c r="D957" s="149"/>
      <c r="F957" s="154"/>
      <c r="G957" s="155"/>
    </row>
    <row r="958" spans="2:8" ht="78" customHeight="1">
      <c r="B958" s="152"/>
      <c r="C958" s="152"/>
      <c r="D958" s="149"/>
      <c r="F958" s="154"/>
      <c r="G958" s="155"/>
    </row>
    <row r="959" spans="2:8" ht="78" customHeight="1">
      <c r="B959" s="152"/>
      <c r="C959" s="152"/>
      <c r="D959" s="149"/>
      <c r="G959" s="155"/>
    </row>
    <row r="960" spans="2:8" ht="78" customHeight="1">
      <c r="B960" s="152"/>
      <c r="C960" s="152"/>
      <c r="D960" s="149"/>
      <c r="F960" s="154"/>
      <c r="G960" s="155"/>
    </row>
    <row r="961" spans="2:8" ht="78" customHeight="1">
      <c r="B961" s="152"/>
      <c r="C961" s="152"/>
      <c r="D961" s="149"/>
      <c r="F961" s="295"/>
      <c r="G961" s="155"/>
    </row>
    <row r="962" spans="2:8" ht="78" customHeight="1">
      <c r="B962" s="152"/>
      <c r="C962" s="152"/>
      <c r="D962" s="149"/>
      <c r="F962" s="154"/>
      <c r="G962" s="155"/>
    </row>
    <row r="963" spans="2:8" ht="78" customHeight="1">
      <c r="B963" s="152"/>
      <c r="C963" s="152"/>
      <c r="D963" s="149"/>
      <c r="F963" s="154"/>
      <c r="G963" s="155"/>
      <c r="H963" s="154"/>
    </row>
    <row r="964" spans="2:8" ht="78" customHeight="1">
      <c r="B964" s="152"/>
      <c r="C964" s="152"/>
      <c r="D964" s="149"/>
      <c r="F964" s="154"/>
      <c r="G964" s="155"/>
      <c r="H964" s="154"/>
    </row>
    <row r="965" spans="2:8" ht="78" customHeight="1">
      <c r="B965" s="152"/>
      <c r="C965" s="152"/>
      <c r="D965" s="149"/>
      <c r="F965" s="154"/>
      <c r="G965" s="155"/>
    </row>
    <row r="966" spans="2:8" ht="78" customHeight="1">
      <c r="B966" s="152"/>
      <c r="C966" s="152"/>
      <c r="D966" s="149"/>
      <c r="F966" s="154"/>
      <c r="G966" s="155"/>
      <c r="H966" s="154"/>
    </row>
    <row r="967" spans="2:8" ht="78" customHeight="1">
      <c r="B967" s="152"/>
      <c r="C967" s="152"/>
      <c r="D967" s="149"/>
      <c r="F967" s="154"/>
      <c r="G967" s="155"/>
      <c r="H967" s="154"/>
    </row>
    <row r="968" spans="2:8" ht="78" customHeight="1">
      <c r="B968" s="152"/>
      <c r="C968" s="152"/>
      <c r="D968" s="149"/>
      <c r="G968" s="155"/>
    </row>
    <row r="969" spans="2:8" ht="78" customHeight="1">
      <c r="B969" s="152"/>
      <c r="C969" s="152"/>
      <c r="D969" s="149"/>
      <c r="F969" s="154"/>
      <c r="G969" s="155"/>
      <c r="H969" s="154"/>
    </row>
    <row r="970" spans="2:8" ht="78" customHeight="1">
      <c r="B970" s="152"/>
      <c r="C970" s="152"/>
      <c r="D970" s="149"/>
      <c r="F970" s="154"/>
      <c r="G970" s="155"/>
      <c r="H970" s="154"/>
    </row>
    <row r="971" spans="2:8" ht="78" customHeight="1">
      <c r="B971" s="152"/>
      <c r="C971" s="152"/>
      <c r="D971" s="149"/>
      <c r="F971" s="154"/>
      <c r="G971" s="155"/>
      <c r="H971" s="154"/>
    </row>
    <row r="972" spans="2:8" ht="78" customHeight="1">
      <c r="B972" s="152"/>
      <c r="C972" s="152"/>
      <c r="D972" s="149"/>
      <c r="F972" s="154"/>
      <c r="G972" s="155"/>
    </row>
    <row r="973" spans="2:8" ht="78" customHeight="1">
      <c r="B973" s="152"/>
      <c r="C973" s="152"/>
      <c r="D973" s="149"/>
      <c r="F973" s="154"/>
      <c r="G973" s="155"/>
    </row>
    <row r="974" spans="2:8" ht="78" customHeight="1">
      <c r="B974" s="152"/>
      <c r="C974" s="152"/>
      <c r="D974" s="149"/>
      <c r="F974" s="154"/>
      <c r="G974" s="155"/>
    </row>
    <row r="975" spans="2:8" ht="78" customHeight="1">
      <c r="B975" s="152"/>
      <c r="C975" s="152"/>
      <c r="D975" s="149"/>
      <c r="F975" s="154"/>
      <c r="G975" s="155"/>
      <c r="H975" s="154"/>
    </row>
    <row r="976" spans="2:8" ht="78" customHeight="1">
      <c r="B976" s="152"/>
      <c r="C976" s="152"/>
      <c r="D976" s="149"/>
      <c r="F976" s="154"/>
      <c r="G976" s="155"/>
      <c r="H976" s="154"/>
    </row>
    <row r="977" spans="2:8" ht="78" customHeight="1">
      <c r="B977" s="152"/>
      <c r="C977" s="152"/>
      <c r="D977" s="149"/>
      <c r="F977" s="222"/>
      <c r="G977" s="155"/>
    </row>
    <row r="978" spans="2:8" ht="78" customHeight="1">
      <c r="B978" s="152"/>
      <c r="C978" s="152"/>
      <c r="D978" s="149"/>
      <c r="F978" s="222"/>
      <c r="G978" s="155"/>
    </row>
    <row r="979" spans="2:8" ht="78" customHeight="1">
      <c r="B979" s="152"/>
      <c r="C979" s="152"/>
      <c r="D979" s="149"/>
      <c r="F979" s="222"/>
      <c r="G979" s="155"/>
    </row>
    <row r="980" spans="2:8" ht="78" customHeight="1">
      <c r="B980" s="152"/>
      <c r="C980" s="152"/>
      <c r="D980" s="149"/>
      <c r="F980" s="222"/>
      <c r="G980" s="155"/>
    </row>
    <row r="981" spans="2:8" ht="78" customHeight="1">
      <c r="B981" s="152"/>
      <c r="C981" s="152"/>
      <c r="D981" s="149"/>
      <c r="F981" s="222"/>
      <c r="G981" s="155"/>
    </row>
    <row r="982" spans="2:8" ht="78" customHeight="1">
      <c r="B982" s="152"/>
      <c r="C982" s="152"/>
      <c r="D982" s="149"/>
      <c r="F982" s="222"/>
      <c r="G982" s="155"/>
    </row>
    <row r="983" spans="2:8" ht="78" customHeight="1">
      <c r="B983" s="152"/>
      <c r="C983" s="152"/>
      <c r="D983" s="149"/>
      <c r="G983" s="155"/>
      <c r="H983" s="154"/>
    </row>
    <row r="984" spans="2:8" ht="78" customHeight="1">
      <c r="B984" s="152"/>
      <c r="C984" s="152"/>
      <c r="D984" s="149"/>
      <c r="G984" s="155"/>
      <c r="H984" s="154"/>
    </row>
    <row r="985" spans="2:8" ht="78" customHeight="1">
      <c r="B985" s="152"/>
      <c r="C985" s="152"/>
      <c r="D985" s="149"/>
      <c r="G985" s="155"/>
      <c r="H985" s="154"/>
    </row>
    <row r="986" spans="2:8" ht="78" customHeight="1">
      <c r="B986" s="152"/>
      <c r="C986" s="152"/>
      <c r="D986" s="149"/>
      <c r="F986" s="222"/>
      <c r="G986" s="155"/>
    </row>
    <row r="987" spans="2:8" ht="78" customHeight="1">
      <c r="B987" s="152"/>
      <c r="C987" s="152"/>
      <c r="D987" s="149"/>
      <c r="F987" s="222"/>
      <c r="G987" s="155"/>
    </row>
    <row r="988" spans="2:8" ht="78" customHeight="1">
      <c r="B988" s="152"/>
      <c r="C988" s="152"/>
      <c r="D988" s="149"/>
      <c r="F988" s="222"/>
      <c r="G988" s="155"/>
      <c r="H988" s="154"/>
    </row>
    <row r="989" spans="2:8" ht="78" customHeight="1">
      <c r="B989" s="152"/>
      <c r="C989" s="152"/>
      <c r="D989" s="149"/>
      <c r="F989" s="222"/>
      <c r="G989" s="155"/>
    </row>
    <row r="990" spans="2:8" ht="78" customHeight="1">
      <c r="B990" s="152"/>
      <c r="C990" s="152"/>
      <c r="D990" s="149"/>
      <c r="F990" s="154"/>
      <c r="G990" s="155"/>
    </row>
    <row r="991" spans="2:8" ht="78" customHeight="1">
      <c r="B991" s="152"/>
      <c r="C991" s="152"/>
      <c r="D991" s="149"/>
      <c r="F991" s="154"/>
      <c r="G991" s="155"/>
    </row>
    <row r="992" spans="2:8" ht="78" customHeight="1">
      <c r="B992" s="152"/>
      <c r="C992" s="152"/>
      <c r="D992" s="149"/>
      <c r="F992" s="154"/>
      <c r="G992" s="155"/>
      <c r="H992" s="154"/>
    </row>
    <row r="993" spans="2:8" ht="78" customHeight="1">
      <c r="B993" s="152"/>
      <c r="C993" s="152"/>
      <c r="D993" s="149"/>
      <c r="F993" s="222"/>
      <c r="G993" s="155"/>
    </row>
    <row r="994" spans="2:8" ht="78" customHeight="1">
      <c r="B994" s="152"/>
      <c r="C994" s="152"/>
      <c r="D994" s="149"/>
      <c r="F994" s="222"/>
      <c r="G994" s="155"/>
    </row>
    <row r="995" spans="2:8" ht="78" customHeight="1">
      <c r="B995" s="152"/>
      <c r="C995" s="152"/>
      <c r="D995" s="149"/>
      <c r="F995" s="222"/>
      <c r="G995" s="155"/>
    </row>
    <row r="996" spans="2:8" ht="78" customHeight="1">
      <c r="B996" s="152"/>
      <c r="C996" s="152"/>
      <c r="D996" s="149"/>
      <c r="F996" s="154"/>
      <c r="G996" s="155"/>
    </row>
    <row r="997" spans="2:8" ht="78" customHeight="1">
      <c r="B997" s="152"/>
      <c r="C997" s="152"/>
      <c r="D997" s="149"/>
      <c r="F997" s="154"/>
      <c r="G997" s="155"/>
    </row>
    <row r="998" spans="2:8" ht="78" customHeight="1">
      <c r="B998" s="152"/>
      <c r="C998" s="152"/>
      <c r="D998" s="149"/>
      <c r="F998" s="222"/>
      <c r="G998" s="155"/>
    </row>
    <row r="999" spans="2:8" ht="78" customHeight="1">
      <c r="B999" s="152"/>
      <c r="C999" s="152"/>
      <c r="D999" s="149"/>
      <c r="F999" s="222"/>
      <c r="G999" s="155"/>
    </row>
    <row r="1000" spans="2:8" ht="78" customHeight="1">
      <c r="B1000" s="152"/>
      <c r="C1000" s="152"/>
      <c r="D1000" s="149"/>
      <c r="F1000" s="222"/>
      <c r="G1000" s="155"/>
    </row>
    <row r="1001" spans="2:8" ht="78" customHeight="1">
      <c r="B1001" s="152"/>
      <c r="C1001" s="152"/>
      <c r="D1001" s="149"/>
      <c r="F1001" s="222"/>
      <c r="G1001" s="155"/>
    </row>
    <row r="1002" spans="2:8" ht="78" customHeight="1">
      <c r="B1002" s="152"/>
      <c r="C1002" s="153"/>
      <c r="D1002" s="149"/>
      <c r="F1002" s="154"/>
      <c r="G1002" s="155"/>
    </row>
    <row r="1003" spans="2:8" ht="78" customHeight="1">
      <c r="B1003" s="152"/>
      <c r="C1003" s="153"/>
      <c r="D1003" s="149"/>
      <c r="F1003" s="154"/>
      <c r="G1003" s="155"/>
    </row>
    <row r="1004" spans="2:8" ht="78" customHeight="1">
      <c r="B1004" s="152"/>
      <c r="C1004" s="153"/>
      <c r="D1004" s="149"/>
      <c r="F1004" s="154"/>
      <c r="G1004" s="155"/>
    </row>
    <row r="1005" spans="2:8" ht="78" customHeight="1">
      <c r="B1005" s="152"/>
      <c r="C1005" s="153"/>
      <c r="D1005" s="149"/>
      <c r="F1005" s="154"/>
      <c r="G1005" s="155"/>
      <c r="H1005" s="154"/>
    </row>
    <row r="1006" spans="2:8" ht="78" customHeight="1">
      <c r="B1006" s="152"/>
      <c r="C1006" s="153"/>
      <c r="D1006" s="149"/>
      <c r="F1006" s="154"/>
      <c r="G1006" s="155"/>
    </row>
    <row r="1007" spans="2:8" ht="78" customHeight="1">
      <c r="B1007" s="152"/>
      <c r="C1007" s="152"/>
      <c r="D1007" s="149"/>
      <c r="F1007" s="154"/>
      <c r="G1007" s="155"/>
      <c r="H1007" s="154"/>
    </row>
    <row r="1008" spans="2:8" ht="78" customHeight="1">
      <c r="B1008" s="153"/>
      <c r="C1008" s="153"/>
      <c r="D1008" s="149"/>
      <c r="F1008" s="222"/>
      <c r="G1008" s="155"/>
      <c r="H1008" s="154"/>
    </row>
    <row r="1009" spans="2:8" ht="78" customHeight="1">
      <c r="B1009" s="153"/>
      <c r="C1009" s="153"/>
      <c r="D1009" s="149"/>
      <c r="F1009" s="222"/>
      <c r="G1009" s="155"/>
    </row>
    <row r="1010" spans="2:8" ht="78" customHeight="1">
      <c r="B1010" s="153"/>
      <c r="C1010" s="153"/>
      <c r="D1010" s="149"/>
      <c r="F1010" s="154"/>
      <c r="G1010" s="155"/>
    </row>
    <row r="1011" spans="2:8" ht="78" customHeight="1">
      <c r="B1011" s="153"/>
      <c r="C1011" s="153"/>
      <c r="D1011" s="149"/>
      <c r="G1011" s="155"/>
    </row>
    <row r="1012" spans="2:8" ht="78" customHeight="1">
      <c r="B1012" s="153"/>
      <c r="C1012" s="153"/>
      <c r="D1012" s="149"/>
      <c r="F1012" s="154"/>
      <c r="G1012" s="155"/>
    </row>
    <row r="1013" spans="2:8" ht="78" customHeight="1">
      <c r="B1013" s="153"/>
      <c r="C1013" s="153"/>
      <c r="D1013" s="149"/>
      <c r="F1013" s="154"/>
      <c r="G1013" s="155"/>
      <c r="H1013" s="154"/>
    </row>
    <row r="1014" spans="2:8" ht="78" customHeight="1">
      <c r="B1014" s="153"/>
      <c r="C1014" s="153"/>
      <c r="D1014" s="149"/>
      <c r="F1014" s="154"/>
      <c r="G1014" s="155"/>
      <c r="H1014" s="154"/>
    </row>
    <row r="1015" spans="2:8" ht="78" customHeight="1">
      <c r="B1015" s="152"/>
      <c r="C1015" s="152"/>
      <c r="D1015" s="149"/>
      <c r="F1015" s="154"/>
      <c r="G1015" s="155"/>
      <c r="H1015" s="154"/>
    </row>
    <row r="1016" spans="2:8" ht="78" customHeight="1">
      <c r="B1016" s="152"/>
      <c r="C1016" s="152"/>
      <c r="D1016" s="149"/>
      <c r="F1016" s="154"/>
      <c r="G1016" s="155"/>
    </row>
    <row r="1017" spans="2:8" ht="78" customHeight="1">
      <c r="B1017" s="152"/>
      <c r="C1017" s="152"/>
      <c r="D1017" s="149"/>
      <c r="G1017" s="155"/>
      <c r="H1017" s="154"/>
    </row>
    <row r="1018" spans="2:8" ht="78" customHeight="1">
      <c r="B1018" s="152"/>
      <c r="C1018" s="152"/>
      <c r="D1018" s="149"/>
      <c r="F1018" s="154"/>
      <c r="G1018" s="155"/>
      <c r="H1018" s="154"/>
    </row>
    <row r="1019" spans="2:8" ht="78" customHeight="1">
      <c r="B1019" s="152"/>
      <c r="C1019" s="152"/>
      <c r="D1019" s="149"/>
      <c r="G1019" s="155"/>
      <c r="H1019" s="154"/>
    </row>
    <row r="1020" spans="2:8" ht="78" customHeight="1">
      <c r="B1020" s="152"/>
      <c r="C1020" s="152"/>
      <c r="D1020" s="149"/>
      <c r="F1020" s="154"/>
      <c r="G1020" s="155"/>
    </row>
    <row r="1021" spans="2:8" ht="78" customHeight="1">
      <c r="B1021" s="152"/>
      <c r="C1021" s="153"/>
      <c r="D1021" s="149"/>
      <c r="F1021" s="154"/>
      <c r="G1021" s="155"/>
      <c r="H1021" s="154"/>
    </row>
    <row r="1022" spans="2:8" ht="78" customHeight="1">
      <c r="B1022" s="153"/>
      <c r="C1022" s="153"/>
      <c r="D1022" s="149"/>
      <c r="G1022" s="155"/>
    </row>
    <row r="1023" spans="2:8" ht="78" customHeight="1">
      <c r="B1023" s="153"/>
      <c r="C1023" s="153"/>
      <c r="D1023" s="149"/>
      <c r="G1023" s="155"/>
      <c r="H1023" s="154"/>
    </row>
    <row r="1024" spans="2:8" ht="78" customHeight="1">
      <c r="B1024" s="152"/>
      <c r="C1024" s="153"/>
      <c r="D1024" s="149"/>
      <c r="F1024" s="154"/>
      <c r="G1024" s="155"/>
      <c r="H1024" s="154"/>
    </row>
    <row r="1025" spans="2:8" ht="78" customHeight="1">
      <c r="B1025" s="152"/>
      <c r="C1025" s="153"/>
      <c r="D1025" s="149"/>
      <c r="F1025" s="154"/>
      <c r="G1025" s="155"/>
      <c r="H1025" s="154"/>
    </row>
    <row r="1026" spans="2:8" ht="78" customHeight="1">
      <c r="B1026" s="152"/>
      <c r="C1026" s="153"/>
      <c r="D1026" s="149"/>
      <c r="F1026" s="154"/>
      <c r="G1026" s="155"/>
      <c r="H1026" s="154"/>
    </row>
    <row r="1027" spans="2:8" ht="78" customHeight="1">
      <c r="B1027" s="152"/>
      <c r="C1027" s="152"/>
      <c r="D1027" s="149"/>
      <c r="G1027" s="155"/>
      <c r="H1027" s="154"/>
    </row>
    <row r="1028" spans="2:8" ht="78" customHeight="1">
      <c r="B1028" s="152"/>
      <c r="C1028" s="152"/>
      <c r="D1028" s="149"/>
      <c r="G1028" s="155"/>
    </row>
    <row r="1029" spans="2:8" ht="78" customHeight="1">
      <c r="B1029" s="153"/>
      <c r="C1029" s="153"/>
      <c r="D1029" s="149"/>
      <c r="F1029" s="154"/>
      <c r="G1029" s="155"/>
      <c r="H1029" s="154"/>
    </row>
    <row r="1030" spans="2:8" ht="78" customHeight="1">
      <c r="B1030" s="153"/>
      <c r="C1030" s="152"/>
      <c r="D1030" s="149"/>
      <c r="F1030" s="154"/>
      <c r="G1030" s="155"/>
      <c r="H1030" s="154"/>
    </row>
    <row r="1031" spans="2:8" ht="78" customHeight="1">
      <c r="B1031" s="153"/>
      <c r="C1031" s="153"/>
      <c r="D1031" s="149"/>
      <c r="F1031" s="154"/>
      <c r="G1031" s="155"/>
    </row>
    <row r="1032" spans="2:8" ht="78" customHeight="1">
      <c r="B1032" s="153"/>
      <c r="C1032" s="153"/>
      <c r="D1032" s="149"/>
      <c r="F1032" s="154"/>
      <c r="G1032" s="155"/>
    </row>
    <row r="1033" spans="2:8" ht="78" customHeight="1">
      <c r="B1033" s="152"/>
      <c r="C1033" s="152"/>
      <c r="D1033" s="149"/>
      <c r="F1033" s="154"/>
      <c r="G1033" s="155"/>
      <c r="H1033" s="154"/>
    </row>
    <row r="1034" spans="2:8" ht="78" customHeight="1">
      <c r="B1034" s="152"/>
      <c r="C1034" s="152"/>
      <c r="D1034" s="149"/>
      <c r="G1034" s="155"/>
    </row>
    <row r="1035" spans="2:8" ht="78" customHeight="1">
      <c r="B1035" s="152"/>
      <c r="C1035" s="152"/>
      <c r="D1035" s="280"/>
      <c r="F1035" s="154"/>
      <c r="G1035" s="155"/>
      <c r="H1035" s="154"/>
    </row>
    <row r="1036" spans="2:8" ht="78" customHeight="1">
      <c r="B1036" s="152"/>
      <c r="C1036" s="152"/>
      <c r="D1036" s="149"/>
      <c r="F1036" s="154"/>
      <c r="G1036" s="155"/>
    </row>
    <row r="1037" spans="2:8" ht="78" customHeight="1">
      <c r="B1037" s="152"/>
      <c r="C1037" s="152"/>
      <c r="D1037" s="149"/>
      <c r="G1037" s="155"/>
    </row>
    <row r="1038" spans="2:8" ht="78" customHeight="1">
      <c r="B1038" s="152"/>
      <c r="C1038" s="152"/>
      <c r="D1038" s="149"/>
      <c r="F1038" s="154"/>
      <c r="G1038" s="155"/>
    </row>
    <row r="1039" spans="2:8" ht="78" customHeight="1">
      <c r="B1039" s="152"/>
      <c r="C1039" s="152"/>
      <c r="D1039" s="149"/>
      <c r="F1039" s="154"/>
      <c r="G1039" s="155"/>
    </row>
    <row r="1040" spans="2:8" ht="78" customHeight="1">
      <c r="B1040" s="152"/>
      <c r="C1040" s="152"/>
      <c r="D1040" s="149"/>
      <c r="F1040" s="154"/>
      <c r="G1040" s="155"/>
    </row>
    <row r="1041" spans="2:8" ht="78" customHeight="1">
      <c r="B1041" s="152"/>
      <c r="C1041" s="152"/>
      <c r="D1041" s="149"/>
      <c r="F1041" s="154"/>
      <c r="G1041" s="155"/>
      <c r="H1041" s="154"/>
    </row>
    <row r="1042" spans="2:8" ht="78" customHeight="1">
      <c r="B1042" s="152"/>
      <c r="C1042" s="152"/>
      <c r="D1042" s="149"/>
      <c r="G1042" s="155"/>
      <c r="H1042" s="154"/>
    </row>
    <row r="1043" spans="2:8" ht="78" customHeight="1">
      <c r="B1043" s="152"/>
      <c r="C1043" s="152"/>
      <c r="D1043" s="149"/>
      <c r="F1043" s="154"/>
      <c r="G1043" s="155"/>
    </row>
    <row r="1044" spans="2:8" ht="78" customHeight="1">
      <c r="B1044" s="152"/>
      <c r="C1044" s="152"/>
      <c r="D1044" s="149"/>
      <c r="F1044" s="154"/>
      <c r="G1044" s="155"/>
      <c r="H1044" s="154"/>
    </row>
    <row r="1045" spans="2:8" ht="78" customHeight="1">
      <c r="B1045" s="152"/>
      <c r="C1045" s="153"/>
      <c r="D1045" s="149"/>
      <c r="F1045" s="154"/>
      <c r="G1045" s="155"/>
    </row>
    <row r="1046" spans="2:8" ht="78" customHeight="1">
      <c r="B1046" s="152"/>
      <c r="C1046" s="152"/>
      <c r="D1046" s="149"/>
      <c r="F1046" s="154"/>
      <c r="G1046" s="155"/>
      <c r="H1046" s="154"/>
    </row>
    <row r="1047" spans="2:8" ht="78" customHeight="1">
      <c r="B1047" s="152"/>
      <c r="C1047" s="153"/>
      <c r="D1047" s="149"/>
      <c r="F1047" s="154"/>
      <c r="G1047" s="155"/>
    </row>
    <row r="1048" spans="2:8" ht="78" customHeight="1">
      <c r="B1048" s="152"/>
      <c r="C1048" s="153"/>
      <c r="D1048" s="149"/>
      <c r="F1048" s="154"/>
      <c r="G1048" s="155"/>
      <c r="H1048" s="154"/>
    </row>
    <row r="1049" spans="2:8" ht="78" customHeight="1">
      <c r="B1049" s="152"/>
      <c r="C1049" s="153"/>
      <c r="D1049" s="149"/>
      <c r="G1049" s="155"/>
    </row>
    <row r="1050" spans="2:8" ht="78" customHeight="1">
      <c r="B1050" s="152"/>
      <c r="C1050" s="153"/>
      <c r="D1050" s="149"/>
      <c r="F1050" s="154"/>
      <c r="G1050" s="155"/>
    </row>
    <row r="1051" spans="2:8" ht="78" customHeight="1">
      <c r="B1051" s="152"/>
      <c r="C1051" s="152"/>
      <c r="D1051" s="149"/>
      <c r="F1051" s="154"/>
      <c r="G1051" s="155"/>
      <c r="H1051" s="154"/>
    </row>
    <row r="1052" spans="2:8" ht="78" customHeight="1">
      <c r="B1052" s="152"/>
      <c r="C1052" s="153"/>
      <c r="D1052" s="149"/>
      <c r="F1052" s="154"/>
      <c r="G1052" s="155"/>
      <c r="H1052" s="154"/>
    </row>
    <row r="1053" spans="2:8" ht="78" customHeight="1">
      <c r="B1053" s="152"/>
      <c r="C1053" s="152"/>
      <c r="D1053" s="149"/>
      <c r="F1053" s="154"/>
      <c r="G1053" s="155"/>
    </row>
    <row r="1054" spans="2:8" ht="78" customHeight="1">
      <c r="B1054" s="152"/>
      <c r="C1054" s="152"/>
      <c r="D1054" s="149"/>
      <c r="F1054" s="222"/>
      <c r="G1054" s="155"/>
      <c r="H1054" s="154"/>
    </row>
    <row r="1055" spans="2:8" ht="78" customHeight="1">
      <c r="B1055" s="152"/>
      <c r="C1055" s="152"/>
      <c r="D1055" s="149"/>
      <c r="F1055" s="222"/>
      <c r="G1055" s="155"/>
    </row>
    <row r="1056" spans="2:8" ht="78" customHeight="1">
      <c r="B1056" s="152"/>
      <c r="C1056" s="152"/>
      <c r="D1056" s="149"/>
      <c r="F1056" s="154"/>
      <c r="G1056" s="155"/>
      <c r="H1056" s="154"/>
    </row>
    <row r="1057" spans="2:8" ht="78" customHeight="1">
      <c r="B1057" s="152"/>
      <c r="C1057" s="152"/>
      <c r="D1057" s="149"/>
      <c r="F1057" s="154"/>
      <c r="G1057" s="155"/>
      <c r="H1057" s="154"/>
    </row>
    <row r="1058" spans="2:8" ht="78" customHeight="1">
      <c r="B1058" s="152"/>
      <c r="C1058" s="152"/>
      <c r="D1058" s="149"/>
      <c r="G1058" s="155"/>
    </row>
    <row r="1059" spans="2:8" ht="78" customHeight="1">
      <c r="B1059" s="152"/>
      <c r="C1059" s="152"/>
      <c r="D1059" s="149"/>
      <c r="F1059" s="222"/>
      <c r="G1059" s="155"/>
    </row>
    <row r="1060" spans="2:8" ht="78" customHeight="1">
      <c r="B1060" s="152"/>
      <c r="C1060" s="152"/>
      <c r="D1060" s="149"/>
      <c r="F1060" s="222"/>
      <c r="G1060" s="155"/>
      <c r="H1060" s="154"/>
    </row>
    <row r="1061" spans="2:8" ht="78" customHeight="1">
      <c r="B1061" s="152"/>
      <c r="C1061" s="152"/>
      <c r="D1061" s="149"/>
      <c r="F1061" s="222"/>
      <c r="G1061" s="155"/>
    </row>
    <row r="1062" spans="2:8" ht="78" customHeight="1">
      <c r="B1062" s="152"/>
      <c r="C1062" s="152"/>
      <c r="D1062" s="149"/>
      <c r="F1062" s="154"/>
      <c r="G1062" s="155"/>
    </row>
    <row r="1063" spans="2:8" ht="78" customHeight="1">
      <c r="B1063" s="152"/>
      <c r="C1063" s="152"/>
      <c r="D1063" s="149"/>
      <c r="F1063" s="222"/>
      <c r="G1063" s="155"/>
    </row>
    <row r="1064" spans="2:8" ht="78" customHeight="1">
      <c r="B1064" s="152"/>
      <c r="C1064" s="152"/>
      <c r="D1064" s="149"/>
      <c r="F1064" s="222"/>
      <c r="G1064" s="155"/>
    </row>
    <row r="1065" spans="2:8" ht="78" customHeight="1">
      <c r="B1065" s="152"/>
      <c r="C1065" s="152"/>
      <c r="D1065" s="149"/>
      <c r="G1065" s="155"/>
    </row>
    <row r="1066" spans="2:8" ht="78" customHeight="1">
      <c r="B1066" s="152"/>
      <c r="C1066" s="152"/>
      <c r="D1066" s="149"/>
      <c r="F1066" s="154"/>
      <c r="G1066" s="155"/>
    </row>
    <row r="1067" spans="2:8" ht="78" customHeight="1">
      <c r="B1067" s="152"/>
      <c r="C1067" s="152"/>
      <c r="D1067" s="149"/>
      <c r="F1067" s="154"/>
      <c r="G1067" s="155"/>
    </row>
    <row r="1068" spans="2:8" ht="78" customHeight="1">
      <c r="B1068" s="152"/>
      <c r="C1068" s="152"/>
      <c r="D1068" s="149"/>
      <c r="F1068" s="154"/>
      <c r="G1068" s="155"/>
    </row>
    <row r="1069" spans="2:8" ht="78" customHeight="1">
      <c r="B1069" s="152"/>
      <c r="C1069" s="152"/>
      <c r="D1069" s="149"/>
      <c r="F1069" s="222"/>
      <c r="G1069" s="155"/>
    </row>
    <row r="1070" spans="2:8" ht="78" customHeight="1">
      <c r="B1070" s="152"/>
      <c r="C1070" s="152"/>
      <c r="D1070" s="149"/>
      <c r="F1070" s="222"/>
      <c r="G1070" s="155"/>
    </row>
    <row r="1071" spans="2:8" ht="78" customHeight="1">
      <c r="B1071" s="152"/>
      <c r="C1071" s="152"/>
      <c r="D1071" s="149"/>
      <c r="F1071" s="154"/>
      <c r="G1071" s="155"/>
      <c r="H1071" s="154"/>
    </row>
    <row r="1072" spans="2:8" ht="78" customHeight="1">
      <c r="B1072" s="152"/>
      <c r="C1072" s="152"/>
      <c r="D1072" s="149"/>
      <c r="F1072" s="222"/>
      <c r="G1072" s="155"/>
      <c r="H1072" s="154"/>
    </row>
    <row r="1073" spans="2:8" ht="78" customHeight="1">
      <c r="B1073" s="152"/>
      <c r="C1073" s="152"/>
      <c r="D1073" s="149"/>
      <c r="F1073" s="222"/>
      <c r="G1073" s="155"/>
    </row>
    <row r="1074" spans="2:8" ht="78" customHeight="1">
      <c r="B1074" s="152"/>
      <c r="C1074" s="152"/>
      <c r="D1074" s="149"/>
      <c r="F1074" s="154"/>
      <c r="G1074" s="155"/>
    </row>
    <row r="1075" spans="2:8" ht="78" customHeight="1">
      <c r="B1075" s="152"/>
      <c r="C1075" s="152"/>
      <c r="D1075" s="149"/>
      <c r="F1075" s="154"/>
      <c r="G1075" s="155"/>
    </row>
    <row r="1076" spans="2:8" ht="78" customHeight="1">
      <c r="B1076" s="152"/>
      <c r="C1076" s="152"/>
      <c r="D1076" s="149"/>
      <c r="F1076" s="222"/>
      <c r="G1076" s="155"/>
    </row>
    <row r="1077" spans="2:8" ht="78" customHeight="1">
      <c r="B1077" s="152"/>
      <c r="C1077" s="152"/>
      <c r="D1077" s="149"/>
      <c r="F1077" s="222"/>
      <c r="G1077" s="155"/>
    </row>
    <row r="1078" spans="2:8" ht="78" customHeight="1">
      <c r="B1078" s="152"/>
      <c r="C1078" s="152"/>
      <c r="D1078" s="149"/>
      <c r="F1078" s="222"/>
      <c r="G1078" s="155"/>
    </row>
    <row r="1079" spans="2:8" ht="78" customHeight="1">
      <c r="B1079" s="152"/>
      <c r="C1079" s="152"/>
      <c r="D1079" s="149"/>
      <c r="F1079" s="222"/>
      <c r="G1079" s="155"/>
    </row>
    <row r="1080" spans="2:8" ht="78" customHeight="1">
      <c r="B1080" s="152"/>
      <c r="C1080" s="152"/>
      <c r="D1080" s="149"/>
      <c r="F1080" s="222"/>
      <c r="G1080" s="155"/>
    </row>
    <row r="1081" spans="2:8" ht="78" customHeight="1">
      <c r="B1081" s="152"/>
      <c r="C1081" s="152"/>
      <c r="D1081" s="149"/>
      <c r="F1081" s="154"/>
      <c r="G1081" s="155"/>
    </row>
    <row r="1082" spans="2:8" ht="78" customHeight="1">
      <c r="B1082" s="152"/>
      <c r="C1082" s="152"/>
      <c r="D1082" s="149"/>
      <c r="F1082" s="222"/>
      <c r="G1082" s="155"/>
    </row>
    <row r="1083" spans="2:8" ht="78" customHeight="1">
      <c r="B1083" s="152"/>
      <c r="C1083" s="152"/>
      <c r="D1083" s="149"/>
      <c r="F1083" s="222"/>
      <c r="G1083" s="155"/>
    </row>
    <row r="1084" spans="2:8" ht="78" customHeight="1">
      <c r="B1084" s="152"/>
      <c r="C1084" s="152"/>
      <c r="D1084" s="149"/>
      <c r="G1084" s="155"/>
      <c r="H1084" s="154"/>
    </row>
    <row r="1085" spans="2:8" ht="78" customHeight="1">
      <c r="B1085" s="152"/>
      <c r="C1085" s="152"/>
      <c r="D1085" s="149"/>
      <c r="G1085" s="155"/>
      <c r="H1085" s="154"/>
    </row>
    <row r="1086" spans="2:8" ht="78" customHeight="1">
      <c r="B1086" s="152"/>
      <c r="C1086" s="152"/>
      <c r="D1086" s="149"/>
      <c r="F1086" s="222"/>
      <c r="G1086" s="155"/>
    </row>
    <row r="1087" spans="2:8" ht="78" customHeight="1">
      <c r="B1087" s="152"/>
      <c r="C1087" s="152"/>
      <c r="D1087" s="149"/>
      <c r="F1087" s="154"/>
      <c r="G1087" s="155"/>
    </row>
    <row r="1088" spans="2:8" ht="78" customHeight="1">
      <c r="B1088" s="152"/>
      <c r="C1088" s="152"/>
      <c r="D1088" s="149"/>
      <c r="F1088" s="154"/>
      <c r="G1088" s="155"/>
    </row>
    <row r="1089" spans="2:8" ht="78" customHeight="1">
      <c r="B1089" s="152"/>
      <c r="C1089" s="152"/>
      <c r="D1089" s="149"/>
      <c r="F1089" s="154"/>
      <c r="G1089" s="155"/>
    </row>
    <row r="1090" spans="2:8" ht="78" customHeight="1">
      <c r="B1090" s="152"/>
      <c r="C1090" s="152"/>
      <c r="D1090" s="149"/>
      <c r="F1090" s="154"/>
      <c r="G1090" s="155"/>
      <c r="H1090" s="154"/>
    </row>
    <row r="1091" spans="2:8" ht="78" customHeight="1">
      <c r="B1091" s="152"/>
      <c r="C1091" s="152"/>
      <c r="D1091" s="149"/>
      <c r="G1091" s="155"/>
      <c r="H1091" s="154"/>
    </row>
    <row r="1092" spans="2:8" ht="78" customHeight="1">
      <c r="B1092" s="152"/>
      <c r="C1092" s="152"/>
      <c r="D1092" s="149"/>
      <c r="F1092" s="154"/>
      <c r="G1092" s="155"/>
    </row>
    <row r="1093" spans="2:8" ht="78" customHeight="1">
      <c r="B1093" s="152"/>
      <c r="C1093" s="152"/>
      <c r="D1093" s="149"/>
      <c r="G1093" s="155"/>
    </row>
    <row r="1094" spans="2:8" ht="78" customHeight="1">
      <c r="B1094" s="152"/>
      <c r="C1094" s="152"/>
      <c r="D1094" s="149"/>
      <c r="F1094" s="154"/>
      <c r="G1094" s="155"/>
      <c r="H1094" s="154"/>
    </row>
    <row r="1095" spans="2:8" ht="78" customHeight="1">
      <c r="B1095" s="152"/>
      <c r="C1095" s="152"/>
      <c r="D1095" s="149"/>
      <c r="G1095" s="155"/>
    </row>
    <row r="1096" spans="2:8" ht="78" customHeight="1">
      <c r="B1096" s="152"/>
      <c r="C1096" s="152"/>
      <c r="D1096" s="149"/>
      <c r="G1096" s="155"/>
    </row>
    <row r="1097" spans="2:8" ht="78" customHeight="1">
      <c r="B1097" s="152"/>
      <c r="C1097" s="152"/>
      <c r="D1097" s="149"/>
      <c r="G1097" s="155"/>
      <c r="H1097" s="154"/>
    </row>
    <row r="1098" spans="2:8" ht="78" customHeight="1">
      <c r="B1098" s="152"/>
      <c r="C1098" s="152"/>
      <c r="D1098" s="149"/>
      <c r="F1098" s="154"/>
      <c r="G1098" s="155"/>
    </row>
    <row r="1099" spans="2:8" ht="78" customHeight="1">
      <c r="B1099" s="152"/>
      <c r="C1099" s="152"/>
      <c r="D1099" s="149"/>
      <c r="F1099" s="154"/>
      <c r="G1099" s="155"/>
    </row>
    <row r="1100" spans="2:8" ht="78" customHeight="1">
      <c r="B1100" s="152"/>
      <c r="C1100" s="152"/>
      <c r="D1100" s="149"/>
      <c r="F1100" s="154"/>
      <c r="G1100" s="155"/>
    </row>
    <row r="1101" spans="2:8" ht="78" customHeight="1">
      <c r="B1101" s="152"/>
      <c r="C1101" s="152"/>
      <c r="D1101" s="149"/>
      <c r="F1101" s="154"/>
      <c r="G1101" s="155"/>
    </row>
    <row r="1102" spans="2:8" ht="78" customHeight="1">
      <c r="B1102" s="152"/>
      <c r="C1102" s="152"/>
      <c r="D1102" s="149"/>
      <c r="F1102" s="154"/>
      <c r="G1102" s="155"/>
    </row>
    <row r="1103" spans="2:8" ht="78" customHeight="1">
      <c r="B1103" s="152"/>
      <c r="C1103" s="152"/>
      <c r="D1103" s="149"/>
      <c r="F1103" s="154"/>
      <c r="G1103" s="155"/>
    </row>
    <row r="1104" spans="2:8" ht="78" customHeight="1">
      <c r="B1104" s="152"/>
      <c r="C1104" s="152"/>
      <c r="D1104" s="149"/>
      <c r="F1104" s="154"/>
      <c r="G1104" s="155"/>
    </row>
    <row r="1105" spans="2:7" ht="78" customHeight="1">
      <c r="B1105" s="152"/>
      <c r="C1105" s="152"/>
      <c r="D1105" s="149"/>
      <c r="F1105" s="154"/>
      <c r="G1105" s="155"/>
    </row>
    <row r="1106" spans="2:7" ht="78" customHeight="1">
      <c r="B1106" s="152"/>
      <c r="C1106" s="152"/>
      <c r="D1106" s="149"/>
      <c r="F1106" s="154"/>
      <c r="G1106" s="155"/>
    </row>
    <row r="1107" spans="2:7" ht="78" customHeight="1">
      <c r="B1107" s="152"/>
      <c r="C1107" s="153"/>
      <c r="D1107" s="149"/>
      <c r="F1107" s="154"/>
      <c r="G1107" s="155"/>
    </row>
    <row r="1108" spans="2:7" ht="78" customHeight="1">
      <c r="B1108" s="152"/>
      <c r="C1108" s="152"/>
      <c r="D1108" s="149"/>
      <c r="F1108" s="154"/>
      <c r="G1108" s="155"/>
    </row>
    <row r="1109" spans="2:7" ht="78" customHeight="1">
      <c r="B1109" s="152"/>
      <c r="C1109" s="153"/>
      <c r="D1109" s="149"/>
      <c r="F1109" s="154"/>
      <c r="G1109" s="155"/>
    </row>
    <row r="1110" spans="2:7" ht="78" customHeight="1">
      <c r="B1110" s="152"/>
      <c r="C1110" s="153"/>
      <c r="D1110" s="149"/>
      <c r="F1110" s="154"/>
      <c r="G1110" s="155"/>
    </row>
    <row r="1111" spans="2:7" ht="78" customHeight="1">
      <c r="B1111" s="152"/>
      <c r="D1111" s="149"/>
      <c r="F1111" s="154"/>
    </row>
    <row r="1112" spans="2:7" ht="78" customHeight="1">
      <c r="B1112" s="152"/>
      <c r="D1112" s="149"/>
      <c r="F1112" s="154"/>
    </row>
    <row r="1113" spans="2:7" ht="78" customHeight="1">
      <c r="B1113" s="152"/>
      <c r="C1113" s="152"/>
      <c r="D1113" s="149"/>
      <c r="F1113" s="154"/>
      <c r="G1113" s="155"/>
    </row>
    <row r="1114" spans="2:7" ht="78" customHeight="1">
      <c r="B1114" s="152"/>
      <c r="C1114" s="152"/>
      <c r="D1114" s="149"/>
      <c r="F1114" s="154"/>
      <c r="G1114" s="155"/>
    </row>
    <row r="1115" spans="2:7" ht="78" customHeight="1">
      <c r="B1115" s="152"/>
      <c r="C1115" s="152"/>
      <c r="D1115" s="149"/>
      <c r="F1115" s="154"/>
      <c r="G1115" s="155"/>
    </row>
    <row r="1116" spans="2:7" ht="78" customHeight="1">
      <c r="B1116" s="152"/>
      <c r="C1116" s="152"/>
      <c r="D1116" s="149"/>
      <c r="F1116" s="154"/>
      <c r="G1116" s="155"/>
    </row>
    <row r="1117" spans="2:7" ht="78" customHeight="1">
      <c r="B1117" s="152"/>
      <c r="C1117" s="152"/>
      <c r="D1117" s="149"/>
      <c r="F1117" s="154"/>
      <c r="G1117" s="155"/>
    </row>
    <row r="1118" spans="2:7" ht="78" customHeight="1">
      <c r="B1118" s="152"/>
      <c r="C1118" s="152"/>
      <c r="D1118" s="149"/>
      <c r="F1118" s="154"/>
      <c r="G1118" s="155"/>
    </row>
    <row r="1119" spans="2:7" ht="78" customHeight="1">
      <c r="B1119" s="152"/>
      <c r="C1119" s="152"/>
      <c r="D1119" s="149"/>
      <c r="F1119" s="154"/>
      <c r="G1119" s="155"/>
    </row>
    <row r="1120" spans="2:7" ht="78" customHeight="1">
      <c r="B1120" s="152"/>
      <c r="C1120" s="152"/>
      <c r="D1120" s="149"/>
      <c r="F1120" s="154"/>
      <c r="G1120" s="155"/>
    </row>
    <row r="1121" spans="2:8" ht="78" customHeight="1">
      <c r="B1121" s="152"/>
      <c r="C1121" s="152"/>
      <c r="D1121" s="149"/>
      <c r="F1121" s="154"/>
      <c r="G1121" s="155"/>
    </row>
    <row r="1122" spans="2:8" ht="78" customHeight="1">
      <c r="B1122" s="152"/>
      <c r="D1122" s="149"/>
      <c r="F1122" s="154"/>
    </row>
    <row r="1123" spans="2:8" ht="78" customHeight="1">
      <c r="B1123" s="152"/>
      <c r="D1123" s="149"/>
      <c r="F1123" s="154"/>
    </row>
    <row r="1124" spans="2:8" ht="78" customHeight="1">
      <c r="B1124" s="152"/>
      <c r="D1124" s="149"/>
      <c r="F1124" s="154"/>
    </row>
    <row r="1125" spans="2:8" ht="78" customHeight="1">
      <c r="B1125" s="152"/>
      <c r="D1125" s="149"/>
      <c r="F1125" s="154"/>
    </row>
    <row r="1126" spans="2:8" ht="78" customHeight="1">
      <c r="B1126" s="152"/>
      <c r="D1126" s="149"/>
      <c r="F1126" s="154"/>
    </row>
    <row r="1127" spans="2:8" ht="78" customHeight="1">
      <c r="B1127" s="152"/>
      <c r="C1127" s="152"/>
      <c r="D1127" s="149"/>
      <c r="G1127" s="155"/>
    </row>
    <row r="1128" spans="2:8" ht="78" customHeight="1">
      <c r="B1128" s="152"/>
      <c r="C1128" s="152"/>
      <c r="D1128" s="149"/>
      <c r="F1128" s="154"/>
      <c r="G1128" s="155"/>
    </row>
    <row r="1129" spans="2:8" ht="78" customHeight="1">
      <c r="B1129" s="152"/>
      <c r="C1129" s="152"/>
      <c r="D1129" s="149"/>
      <c r="G1129" s="155"/>
      <c r="H1129" s="154"/>
    </row>
    <row r="1048576" spans="4:7" ht="78" customHeight="1">
      <c r="D1048576" s="160"/>
      <c r="G1048576" s="177"/>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3D13-3E04-4A2D-85EA-B11BC67D89CA}">
  <sheetPr>
    <tabColor theme="4" tint="0.79998168889431442"/>
    <pageSetUpPr fitToPage="1"/>
  </sheetPr>
  <dimension ref="A1:J14"/>
  <sheetViews>
    <sheetView showGridLines="0" tabSelected="1" workbookViewId="0">
      <selection activeCell="Q8" sqref="Q8"/>
    </sheetView>
  </sheetViews>
  <sheetFormatPr defaultColWidth="8.5" defaultRowHeight="16.5"/>
  <cols>
    <col min="1" max="1" width="2.5" style="65" customWidth="1"/>
    <col min="2" max="2" width="17.875" style="65" customWidth="1"/>
    <col min="3" max="3" width="22.375" style="65" customWidth="1"/>
    <col min="4" max="4" width="17.375" style="65" customWidth="1"/>
    <col min="5" max="5" width="23" style="65" customWidth="1"/>
    <col min="6" max="6" width="20.375" style="65" customWidth="1"/>
    <col min="7" max="7" width="23" style="65" customWidth="1"/>
    <col min="8" max="8" width="17.375" style="65" customWidth="1"/>
    <col min="9" max="9" width="2.5" style="65" customWidth="1"/>
    <col min="10" max="10" width="16.5" style="65" customWidth="1"/>
    <col min="11" max="16384" width="8.5" style="65"/>
  </cols>
  <sheetData>
    <row r="1" spans="1:10" ht="60" customHeight="1">
      <c r="B1" s="365" t="str">
        <f>달력연도&amp;"년"&amp;" 6월"</f>
        <v>2025년 6월</v>
      </c>
      <c r="C1" s="365"/>
      <c r="D1" s="365"/>
      <c r="E1" s="66"/>
      <c r="F1" s="66"/>
      <c r="G1" s="66"/>
      <c r="H1" s="79"/>
    </row>
    <row r="2" spans="1:10"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0" ht="19.5" customHeight="1">
      <c r="B3" s="74">
        <f t="array" ref="B3:H3">요일및주+DATE(달력연도,6,1)-WEEKDAY(DATE(달력연도,6,1),(주시작="월요일")+1)+1</f>
        <v>45809</v>
      </c>
      <c r="C3" s="74">
        <v>45810</v>
      </c>
      <c r="D3" s="87">
        <v>45811</v>
      </c>
      <c r="E3" s="74">
        <v>45812</v>
      </c>
      <c r="F3" s="74">
        <v>45813</v>
      </c>
      <c r="G3" s="87">
        <v>45814</v>
      </c>
      <c r="H3" s="84">
        <v>45815</v>
      </c>
    </row>
    <row r="4" spans="1:10" ht="87.75" customHeight="1">
      <c r="C4" s="103" t="s">
        <v>2440</v>
      </c>
      <c r="D4" s="95"/>
      <c r="E4" s="148" t="s">
        <v>2402</v>
      </c>
      <c r="F4" s="103" t="s">
        <v>2316</v>
      </c>
      <c r="G4" s="96" t="s">
        <v>2129</v>
      </c>
      <c r="J4" s="327" t="s">
        <v>2119</v>
      </c>
    </row>
    <row r="5" spans="1:10" ht="19.5" customHeight="1">
      <c r="B5" s="88">
        <f t="array" ref="B5:H5">요일및주+DATE(달력연도,6,1)-WEEKDAY(DATE(달력연도,6,1),(주시작="월요일")+1)+8</f>
        <v>45816</v>
      </c>
      <c r="C5" s="80">
        <v>45817</v>
      </c>
      <c r="D5" s="80">
        <v>45818</v>
      </c>
      <c r="E5" s="80">
        <v>45819</v>
      </c>
      <c r="F5" s="141">
        <v>45820</v>
      </c>
      <c r="G5" s="80">
        <v>45821</v>
      </c>
      <c r="H5" s="90">
        <v>45822</v>
      </c>
      <c r="J5" s="328" t="s">
        <v>2038</v>
      </c>
    </row>
    <row r="6" spans="1:10" ht="108" customHeight="1">
      <c r="B6" s="360"/>
      <c r="C6" s="92" t="s">
        <v>2401</v>
      </c>
      <c r="D6" s="92" t="s">
        <v>2385</v>
      </c>
      <c r="E6" s="92" t="s">
        <v>2399</v>
      </c>
      <c r="F6" s="92" t="s">
        <v>2441</v>
      </c>
      <c r="G6" s="92" t="s">
        <v>2431</v>
      </c>
      <c r="H6" s="360"/>
      <c r="J6" s="326" t="s">
        <v>2130</v>
      </c>
    </row>
    <row r="7" spans="1:10" ht="19.5" customHeight="1">
      <c r="B7" s="87">
        <f t="array" ref="B7:H7">요일및주+DATE(달력연도,6,1)-WEEKDAY(DATE(달력연도,6,1),(주시작="월요일")+1)+15</f>
        <v>45823</v>
      </c>
      <c r="C7" s="74">
        <v>45824</v>
      </c>
      <c r="D7" s="74">
        <v>45825</v>
      </c>
      <c r="E7" s="74">
        <v>45826</v>
      </c>
      <c r="F7" s="74">
        <v>45827</v>
      </c>
      <c r="G7" s="74">
        <v>45828</v>
      </c>
      <c r="H7" s="84">
        <v>45829</v>
      </c>
    </row>
    <row r="8" spans="1:10" ht="117.75" customHeight="1">
      <c r="C8" s="103" t="s">
        <v>2460</v>
      </c>
      <c r="D8" s="103" t="s">
        <v>2461</v>
      </c>
      <c r="E8" s="103" t="s">
        <v>2459</v>
      </c>
      <c r="F8" s="103" t="s">
        <v>2400</v>
      </c>
      <c r="G8" s="98" t="s">
        <v>2442</v>
      </c>
    </row>
    <row r="9" spans="1:10" ht="19.5" customHeight="1">
      <c r="B9" s="88">
        <f t="array" ref="B9:H9">요일및주+DATE(달력연도,6,1)-WEEKDAY(DATE(달력연도,6,1),(주시작="월요일")+1)+22</f>
        <v>45830</v>
      </c>
      <c r="C9" s="80">
        <v>45831</v>
      </c>
      <c r="D9" s="80">
        <v>45832</v>
      </c>
      <c r="E9" s="80">
        <v>45833</v>
      </c>
      <c r="F9" s="80">
        <v>45834</v>
      </c>
      <c r="G9" s="80">
        <v>45835</v>
      </c>
      <c r="H9" s="90">
        <v>45836</v>
      </c>
    </row>
    <row r="10" spans="1:10" ht="78.95" customHeight="1">
      <c r="B10" s="360"/>
      <c r="C10" s="91" t="s">
        <v>2238</v>
      </c>
      <c r="D10" s="332"/>
      <c r="E10" s="92"/>
      <c r="F10" s="92"/>
      <c r="G10" s="113"/>
      <c r="H10" s="360"/>
    </row>
    <row r="11" spans="1:10" ht="19.5" customHeight="1">
      <c r="B11" s="87">
        <f t="array" ref="B11:H11">요일및주+DATE(달력연도,6,1)-WEEKDAY(DATE(달력연도,6,1),(주시작="월요일")+1)+29</f>
        <v>45837</v>
      </c>
      <c r="C11" s="74">
        <v>45838</v>
      </c>
      <c r="D11" s="74">
        <v>45839</v>
      </c>
      <c r="E11" s="74">
        <v>45840</v>
      </c>
      <c r="F11" s="74">
        <v>45841</v>
      </c>
      <c r="G11" s="74">
        <v>45842</v>
      </c>
      <c r="H11" s="84">
        <v>45843</v>
      </c>
    </row>
    <row r="12" spans="1:10" ht="57.95" customHeight="1">
      <c r="C12" s="119"/>
      <c r="D12" s="104"/>
      <c r="E12" s="122"/>
      <c r="F12" s="104"/>
      <c r="G12" s="104"/>
    </row>
    <row r="13" spans="1:10" ht="19.5" customHeight="1">
      <c r="B13" s="88">
        <f t="array" ref="B13:C13">요일및주+DATE(달력연도,6,1)-WEEKDAY(DATE(달력연도,6,1),(주시작="월요일")+1)+36</f>
        <v>45844</v>
      </c>
      <c r="C13" s="80">
        <v>45845</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23" priority="1">
      <formula>DAY(B3)&gt;8</formula>
    </cfRule>
  </conditionalFormatting>
  <conditionalFormatting sqref="B11:H11 B13:C13">
    <cfRule type="expression" dxfId="22" priority="2">
      <formula>AND(DAY(B11)&gt;=1,DAY(B11)&lt;=15)</formula>
    </cfRule>
  </conditionalFormatting>
  <dataValidations count="8">
    <dataValidation allowBlank="1" showInputMessage="1" showErrorMessage="1" prompt="자동으로 결정된 평일입니다." sqref="C2:H2" xr:uid="{062B657F-EF92-FB4D-B403-6E80ABCED8D0}"/>
    <dataValidation allowBlank="1" showInputMessage="1" showErrorMessage="1" prompt="6월 한 달 일정" sqref="A1" xr:uid="{0EE5B970-2A03-894D-944D-7D890738B98E}"/>
    <dataValidation allowBlank="1" showInputMessage="1" showErrorMessage="1" prompt="오른쪽 셀에 메모를 입력합니다." sqref="D13:D14" xr:uid="{9BE0D525-DA0B-E84D-BC48-40DA823F6610}"/>
    <dataValidation allowBlank="1" showInputMessage="1" showErrorMessage="1" prompt="이 셀에 메모를 입력합니다." sqref="E13:H14" xr:uid="{4F78B790-131F-9E47-874A-98A9A829B462}"/>
    <dataValidation allowBlank="1" showInputMessage="1" showErrorMessage="1" prompt="이 행과 6, 8, 10, 12, 14 행은 위의 셀에 있는 날짜와 관련된 일별 메모를 입력하는 셀입니다." sqref="B4" xr:uid="{0181C365-19EA-124E-B653-9D4CF1164501}"/>
    <dataValidation allowBlank="1" showInputMessage="1" showErrorMessage="1" prompt="이 셀의 연도는 1월 워크시트에 입력한 연도에 따라 자동으로 업데이트됩니다. 아래 달력에는 이전 달과 다음 달의 날짜가 연한 글꼴 음영으로 표시됩니다." sqref="B1:D1" xr:uid="{2A84FB22-FA77-FF41-9EB8-287888F7243F}"/>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D7FACE37-3AEA-2A4B-8D2E-CD944DFB5FAD}"/>
    <dataValidation allowBlank="1" showInputMessage="1" showErrorMessage="1" prompt="이 행과 5, 7, 9, 11, 13행에는 해당 주의 날짜가 표시됩니다. 이 셀에 숫자 1이 없는 경우에는 이전 달의 날짜가 표시됩니다. E13 셀에 메모를 입력합니다." sqref="B3" xr:uid="{6A477A64-E89D-3149-ABD4-974530986212}"/>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186"/>
  <sheetViews>
    <sheetView topLeftCell="A70" zoomScale="115" zoomScaleNormal="115" zoomScaleSheetLayoutView="75" workbookViewId="0">
      <selection activeCell="G87" sqref="G87"/>
    </sheetView>
  </sheetViews>
  <sheetFormatPr defaultColWidth="9" defaultRowHeight="11.25"/>
  <cols>
    <col min="1" max="1" width="3.875" style="2" customWidth="1"/>
    <col min="2" max="2" width="20.625" style="5" customWidth="1"/>
    <col min="3" max="3" width="6.375" style="5" bestFit="1" customWidth="1"/>
    <col min="4" max="4" width="6.375" style="2" bestFit="1" customWidth="1"/>
    <col min="5" max="5" width="12.5" style="2" customWidth="1"/>
    <col min="6" max="6" width="13.5" style="2" customWidth="1"/>
    <col min="7" max="7" width="22.5" style="2" bestFit="1" customWidth="1"/>
    <col min="8" max="8" width="14.5" style="2" customWidth="1"/>
    <col min="9" max="9" width="6.375" style="2" customWidth="1"/>
    <col min="10" max="10" width="7.625" style="2" bestFit="1" customWidth="1"/>
    <col min="11" max="11" width="17.375" style="1" customWidth="1"/>
    <col min="12" max="12" width="6.375" style="1" customWidth="1"/>
    <col min="13" max="13" width="6.375" style="1" bestFit="1" customWidth="1"/>
    <col min="14" max="14" width="10.5" style="1" customWidth="1"/>
    <col min="15" max="15" width="11.5" style="1" bestFit="1" customWidth="1"/>
    <col min="16" max="16" width="13" style="1" bestFit="1" customWidth="1"/>
    <col min="17" max="17" width="68.375" style="1" customWidth="1"/>
    <col min="18" max="16384" width="9" style="1"/>
  </cols>
  <sheetData>
    <row r="1" spans="1:17" s="3" customFormat="1" ht="27">
      <c r="A1" s="368" t="s">
        <v>451</v>
      </c>
      <c r="B1" s="368"/>
      <c r="C1" s="368"/>
      <c r="D1" s="368"/>
      <c r="E1" s="368"/>
      <c r="F1" s="368"/>
      <c r="G1" s="368"/>
      <c r="H1" s="368"/>
      <c r="I1" s="368"/>
      <c r="J1" s="368"/>
      <c r="K1" s="368"/>
      <c r="L1" s="369" t="s">
        <v>452</v>
      </c>
      <c r="M1" s="370"/>
      <c r="N1" s="370"/>
      <c r="O1" s="370"/>
      <c r="P1" s="371"/>
      <c r="Q1" s="14"/>
    </row>
    <row r="2" spans="1:17" s="4" customFormat="1" ht="22.5" customHeight="1">
      <c r="A2" s="8" t="s">
        <v>453</v>
      </c>
      <c r="B2" s="8" t="s">
        <v>454</v>
      </c>
      <c r="C2" s="8" t="s">
        <v>455</v>
      </c>
      <c r="D2" s="8" t="s">
        <v>456</v>
      </c>
      <c r="E2" s="8" t="s">
        <v>457</v>
      </c>
      <c r="F2" s="8" t="s">
        <v>458</v>
      </c>
      <c r="G2" s="8" t="s">
        <v>459</v>
      </c>
      <c r="H2" s="8" t="s">
        <v>460</v>
      </c>
      <c r="I2" s="8" t="s">
        <v>461</v>
      </c>
      <c r="J2" s="8" t="s">
        <v>462</v>
      </c>
      <c r="K2" s="8" t="s">
        <v>463</v>
      </c>
      <c r="L2" s="8" t="s">
        <v>464</v>
      </c>
      <c r="M2" s="8" t="s">
        <v>6</v>
      </c>
      <c r="N2" s="8" t="s">
        <v>465</v>
      </c>
      <c r="O2" s="8" t="s">
        <v>466</v>
      </c>
      <c r="P2" s="8" t="s">
        <v>467</v>
      </c>
      <c r="Q2" s="15" t="s">
        <v>468</v>
      </c>
    </row>
    <row r="3" spans="1:17" s="3" customFormat="1" ht="22.5">
      <c r="A3" s="19">
        <v>1</v>
      </c>
      <c r="B3" s="21" t="s">
        <v>372</v>
      </c>
      <c r="C3" s="21" t="s">
        <v>469</v>
      </c>
      <c r="D3" s="27" t="s">
        <v>278</v>
      </c>
      <c r="E3" s="21" t="s">
        <v>470</v>
      </c>
      <c r="F3" s="21" t="s">
        <v>471</v>
      </c>
      <c r="G3" s="20" t="s">
        <v>472</v>
      </c>
      <c r="H3" s="21" t="s">
        <v>473</v>
      </c>
      <c r="I3" s="21">
        <v>1</v>
      </c>
      <c r="J3" s="21" t="s">
        <v>474</v>
      </c>
      <c r="K3" s="21" t="s">
        <v>475</v>
      </c>
      <c r="L3" s="21" t="s">
        <v>476</v>
      </c>
      <c r="M3" s="21" t="s">
        <v>14</v>
      </c>
      <c r="N3" s="372" t="s">
        <v>14</v>
      </c>
      <c r="O3" s="21" t="s">
        <v>477</v>
      </c>
      <c r="P3" s="21"/>
      <c r="Q3" s="35" t="s">
        <v>478</v>
      </c>
    </row>
    <row r="4" spans="1:17" s="3" customFormat="1" ht="22.5">
      <c r="A4" s="33"/>
      <c r="B4" s="21" t="s">
        <v>372</v>
      </c>
      <c r="C4" s="21" t="s">
        <v>469</v>
      </c>
      <c r="D4" s="27" t="s">
        <v>278</v>
      </c>
      <c r="E4" s="21" t="s">
        <v>470</v>
      </c>
      <c r="F4" s="21" t="s">
        <v>471</v>
      </c>
      <c r="G4" s="20" t="s">
        <v>472</v>
      </c>
      <c r="H4" s="21" t="s">
        <v>12</v>
      </c>
      <c r="I4" s="21">
        <v>3</v>
      </c>
      <c r="J4" s="21" t="s">
        <v>479</v>
      </c>
      <c r="K4" s="21" t="s">
        <v>480</v>
      </c>
      <c r="L4" s="21" t="s">
        <v>476</v>
      </c>
      <c r="M4" s="21" t="s">
        <v>14</v>
      </c>
      <c r="N4" s="373"/>
      <c r="O4" s="21" t="s">
        <v>477</v>
      </c>
      <c r="P4" s="21"/>
      <c r="Q4" s="35" t="s">
        <v>481</v>
      </c>
    </row>
    <row r="5" spans="1:17" s="3" customFormat="1" ht="42" customHeight="1">
      <c r="A5" s="19">
        <v>2</v>
      </c>
      <c r="B5" s="23" t="s">
        <v>373</v>
      </c>
      <c r="C5" s="23" t="s">
        <v>469</v>
      </c>
      <c r="D5" s="24" t="s">
        <v>80</v>
      </c>
      <c r="E5" s="24" t="s">
        <v>482</v>
      </c>
      <c r="F5" s="24"/>
      <c r="G5" s="25" t="s">
        <v>483</v>
      </c>
      <c r="H5" s="23" t="s">
        <v>81</v>
      </c>
      <c r="I5" s="23">
        <v>1</v>
      </c>
      <c r="J5" s="23" t="s">
        <v>479</v>
      </c>
      <c r="K5" s="23" t="s">
        <v>484</v>
      </c>
      <c r="L5" s="23" t="s">
        <v>476</v>
      </c>
      <c r="M5" s="23" t="s">
        <v>14</v>
      </c>
      <c r="N5" s="23" t="s">
        <v>14</v>
      </c>
      <c r="O5" s="23" t="s">
        <v>477</v>
      </c>
      <c r="P5" s="23" t="s">
        <v>485</v>
      </c>
      <c r="Q5" s="26" t="s">
        <v>486</v>
      </c>
    </row>
    <row r="6" spans="1:17" s="3" customFormat="1" ht="22.5" customHeight="1">
      <c r="A6" s="19">
        <v>3</v>
      </c>
      <c r="B6" s="27" t="s">
        <v>374</v>
      </c>
      <c r="C6" s="21" t="s">
        <v>469</v>
      </c>
      <c r="D6" s="27" t="s">
        <v>277</v>
      </c>
      <c r="E6" s="27" t="s">
        <v>487</v>
      </c>
      <c r="F6" s="27" t="s">
        <v>488</v>
      </c>
      <c r="G6" s="20" t="s">
        <v>489</v>
      </c>
      <c r="H6" s="21" t="s">
        <v>58</v>
      </c>
      <c r="I6" s="21">
        <v>2</v>
      </c>
      <c r="J6" s="21" t="s">
        <v>490</v>
      </c>
      <c r="K6" s="21" t="s">
        <v>484</v>
      </c>
      <c r="L6" s="21" t="s">
        <v>476</v>
      </c>
      <c r="M6" s="21" t="s">
        <v>14</v>
      </c>
      <c r="N6" s="372" t="s">
        <v>14</v>
      </c>
      <c r="O6" s="21" t="s">
        <v>477</v>
      </c>
      <c r="P6" s="21"/>
      <c r="Q6" s="35" t="s">
        <v>491</v>
      </c>
    </row>
    <row r="7" spans="1:17" s="3" customFormat="1" ht="17.45" customHeight="1">
      <c r="A7" s="19"/>
      <c r="B7" s="27" t="s">
        <v>374</v>
      </c>
      <c r="C7" s="21" t="s">
        <v>469</v>
      </c>
      <c r="D7" s="27" t="s">
        <v>277</v>
      </c>
      <c r="E7" s="27" t="s">
        <v>487</v>
      </c>
      <c r="F7" s="27" t="s">
        <v>488</v>
      </c>
      <c r="G7" s="108" t="s">
        <v>489</v>
      </c>
      <c r="H7" s="21" t="s">
        <v>51</v>
      </c>
      <c r="I7" s="21">
        <v>1</v>
      </c>
      <c r="J7" s="21" t="s">
        <v>474</v>
      </c>
      <c r="K7" s="21" t="s">
        <v>492</v>
      </c>
      <c r="L7" s="21" t="s">
        <v>476</v>
      </c>
      <c r="M7" s="21" t="s">
        <v>53</v>
      </c>
      <c r="N7" s="373"/>
      <c r="O7" s="21" t="s">
        <v>477</v>
      </c>
      <c r="P7" s="21"/>
      <c r="Q7" s="35" t="s">
        <v>493</v>
      </c>
    </row>
    <row r="8" spans="1:17" s="3" customFormat="1" ht="22.5" customHeight="1">
      <c r="A8" s="19">
        <v>4</v>
      </c>
      <c r="B8" s="23" t="s">
        <v>375</v>
      </c>
      <c r="C8" s="23" t="s">
        <v>469</v>
      </c>
      <c r="D8" s="24" t="s">
        <v>57</v>
      </c>
      <c r="E8" s="24" t="s">
        <v>494</v>
      </c>
      <c r="F8" s="24"/>
      <c r="G8" s="25" t="s">
        <v>495</v>
      </c>
      <c r="H8" s="23" t="s">
        <v>58</v>
      </c>
      <c r="I8" s="23">
        <v>1</v>
      </c>
      <c r="J8" s="23" t="s">
        <v>479</v>
      </c>
      <c r="K8" s="23" t="s">
        <v>484</v>
      </c>
      <c r="L8" s="23" t="s">
        <v>476</v>
      </c>
      <c r="M8" s="23" t="s">
        <v>14</v>
      </c>
      <c r="N8" s="23" t="s">
        <v>14</v>
      </c>
      <c r="O8" s="23" t="s">
        <v>477</v>
      </c>
      <c r="P8" s="23"/>
      <c r="Q8" s="26" t="s">
        <v>496</v>
      </c>
    </row>
    <row r="9" spans="1:17" s="3" customFormat="1" ht="22.5" customHeight="1">
      <c r="A9" s="19">
        <v>5</v>
      </c>
      <c r="B9" s="21" t="s">
        <v>376</v>
      </c>
      <c r="C9" s="21" t="s">
        <v>469</v>
      </c>
      <c r="D9" s="27" t="s">
        <v>83</v>
      </c>
      <c r="E9" s="21" t="s">
        <v>497</v>
      </c>
      <c r="F9" s="21" t="s">
        <v>498</v>
      </c>
      <c r="G9" s="20" t="s">
        <v>499</v>
      </c>
      <c r="H9" s="21" t="s">
        <v>58</v>
      </c>
      <c r="I9" s="21">
        <v>2</v>
      </c>
      <c r="J9" s="21" t="s">
        <v>500</v>
      </c>
      <c r="K9" s="21" t="s">
        <v>484</v>
      </c>
      <c r="L9" s="21" t="s">
        <v>476</v>
      </c>
      <c r="M9" s="21" t="s">
        <v>14</v>
      </c>
      <c r="N9" s="21" t="s">
        <v>14</v>
      </c>
      <c r="O9" s="21" t="s">
        <v>477</v>
      </c>
      <c r="P9" s="21"/>
      <c r="Q9" s="22" t="s">
        <v>496</v>
      </c>
    </row>
    <row r="10" spans="1:17" s="3" customFormat="1" ht="22.5" customHeight="1">
      <c r="A10" s="19">
        <v>6</v>
      </c>
      <c r="B10" s="24" t="s">
        <v>378</v>
      </c>
      <c r="C10" s="23" t="s">
        <v>469</v>
      </c>
      <c r="D10" s="24" t="s">
        <v>501</v>
      </c>
      <c r="E10" s="23" t="s">
        <v>502</v>
      </c>
      <c r="F10" s="23" t="s">
        <v>503</v>
      </c>
      <c r="G10" s="28"/>
      <c r="H10" s="23" t="s">
        <v>504</v>
      </c>
      <c r="I10" s="23">
        <v>1</v>
      </c>
      <c r="J10" s="23" t="s">
        <v>479</v>
      </c>
      <c r="K10" s="23" t="s">
        <v>505</v>
      </c>
      <c r="L10" s="23" t="s">
        <v>72</v>
      </c>
      <c r="M10" s="23" t="s">
        <v>14</v>
      </c>
      <c r="N10" s="23" t="s">
        <v>14</v>
      </c>
      <c r="O10" s="23" t="s">
        <v>506</v>
      </c>
      <c r="P10" s="23"/>
      <c r="Q10" s="26" t="s">
        <v>507</v>
      </c>
    </row>
    <row r="11" spans="1:17" s="3" customFormat="1" ht="22.5" customHeight="1">
      <c r="A11" s="19">
        <v>7</v>
      </c>
      <c r="B11" s="21" t="s">
        <v>43</v>
      </c>
      <c r="C11" s="21" t="s">
        <v>469</v>
      </c>
      <c r="D11" s="27" t="s">
        <v>44</v>
      </c>
      <c r="E11" s="27" t="s">
        <v>508</v>
      </c>
      <c r="F11" s="27" t="s">
        <v>509</v>
      </c>
      <c r="G11" s="20"/>
      <c r="H11" s="21" t="s">
        <v>45</v>
      </c>
      <c r="I11" s="21">
        <v>1</v>
      </c>
      <c r="J11" s="21" t="s">
        <v>510</v>
      </c>
      <c r="K11" s="21" t="s">
        <v>511</v>
      </c>
      <c r="L11" s="21" t="s">
        <v>476</v>
      </c>
      <c r="M11" s="21" t="s">
        <v>14</v>
      </c>
      <c r="N11" s="374" t="s">
        <v>512</v>
      </c>
      <c r="O11" s="21" t="s">
        <v>506</v>
      </c>
      <c r="P11" s="21"/>
      <c r="Q11" s="35" t="s">
        <v>513</v>
      </c>
    </row>
    <row r="12" spans="1:17" s="3" customFormat="1" ht="22.5" customHeight="1">
      <c r="A12" s="19">
        <v>8</v>
      </c>
      <c r="B12" s="21" t="s">
        <v>380</v>
      </c>
      <c r="C12" s="21" t="s">
        <v>469</v>
      </c>
      <c r="D12" s="27" t="s">
        <v>97</v>
      </c>
      <c r="E12" s="21" t="s">
        <v>514</v>
      </c>
      <c r="F12" s="21" t="s">
        <v>515</v>
      </c>
      <c r="G12" s="20" t="s">
        <v>516</v>
      </c>
      <c r="H12" s="21" t="s">
        <v>100</v>
      </c>
      <c r="I12" s="21">
        <v>2</v>
      </c>
      <c r="J12" s="21" t="s">
        <v>490</v>
      </c>
      <c r="K12" s="21" t="s">
        <v>511</v>
      </c>
      <c r="L12" s="21" t="s">
        <v>476</v>
      </c>
      <c r="M12" s="21" t="s">
        <v>14</v>
      </c>
      <c r="N12" s="375"/>
      <c r="O12" s="21" t="s">
        <v>506</v>
      </c>
      <c r="P12" s="21"/>
      <c r="Q12" s="35"/>
    </row>
    <row r="13" spans="1:17" s="3" customFormat="1" ht="22.5" customHeight="1">
      <c r="A13" s="19">
        <v>9</v>
      </c>
      <c r="B13" s="23" t="s">
        <v>379</v>
      </c>
      <c r="C13" s="23" t="s">
        <v>469</v>
      </c>
      <c r="D13" s="24" t="s">
        <v>517</v>
      </c>
      <c r="E13" s="23" t="s">
        <v>518</v>
      </c>
      <c r="F13" s="23" t="s">
        <v>519</v>
      </c>
      <c r="G13" s="25" t="s">
        <v>520</v>
      </c>
      <c r="H13" s="23" t="s">
        <v>100</v>
      </c>
      <c r="I13" s="23">
        <v>5</v>
      </c>
      <c r="J13" s="23" t="s">
        <v>521</v>
      </c>
      <c r="K13" s="23" t="s">
        <v>522</v>
      </c>
      <c r="L13" s="23" t="s">
        <v>72</v>
      </c>
      <c r="M13" s="23" t="s">
        <v>523</v>
      </c>
      <c r="N13" s="376" t="s">
        <v>512</v>
      </c>
      <c r="O13" s="23" t="s">
        <v>506</v>
      </c>
      <c r="P13" s="23"/>
      <c r="Q13" s="34" t="s">
        <v>524</v>
      </c>
    </row>
    <row r="14" spans="1:17" s="3" customFormat="1" ht="22.5" customHeight="1">
      <c r="A14" s="19"/>
      <c r="B14" s="23" t="s">
        <v>379</v>
      </c>
      <c r="C14" s="23" t="s">
        <v>469</v>
      </c>
      <c r="D14" s="24" t="s">
        <v>517</v>
      </c>
      <c r="E14" s="23" t="s">
        <v>518</v>
      </c>
      <c r="F14" s="23" t="s">
        <v>519</v>
      </c>
      <c r="G14" s="25" t="s">
        <v>520</v>
      </c>
      <c r="H14" s="29" t="s">
        <v>473</v>
      </c>
      <c r="I14" s="23">
        <v>2</v>
      </c>
      <c r="J14" s="23" t="s">
        <v>525</v>
      </c>
      <c r="K14" s="23" t="s">
        <v>526</v>
      </c>
      <c r="L14" s="23" t="s">
        <v>476</v>
      </c>
      <c r="M14" s="23" t="s">
        <v>14</v>
      </c>
      <c r="N14" s="377"/>
      <c r="O14" s="23" t="s">
        <v>506</v>
      </c>
      <c r="P14" s="23"/>
      <c r="Q14" s="34"/>
    </row>
    <row r="15" spans="1:17" s="3" customFormat="1" ht="24.95" customHeight="1">
      <c r="A15" s="19">
        <v>10</v>
      </c>
      <c r="B15" s="21" t="s">
        <v>383</v>
      </c>
      <c r="C15" s="21" t="s">
        <v>469</v>
      </c>
      <c r="D15" s="27" t="s">
        <v>527</v>
      </c>
      <c r="E15" s="21" t="s">
        <v>528</v>
      </c>
      <c r="F15" s="21" t="s">
        <v>529</v>
      </c>
      <c r="G15" s="30"/>
      <c r="H15" s="21" t="s">
        <v>71</v>
      </c>
      <c r="I15" s="21">
        <v>1</v>
      </c>
      <c r="J15" s="21" t="s">
        <v>479</v>
      </c>
      <c r="K15" s="21" t="s">
        <v>530</v>
      </c>
      <c r="L15" s="21" t="s">
        <v>72</v>
      </c>
      <c r="M15" s="21" t="s">
        <v>523</v>
      </c>
      <c r="N15" s="21" t="s">
        <v>523</v>
      </c>
      <c r="O15" s="21" t="s">
        <v>531</v>
      </c>
      <c r="P15" s="21"/>
      <c r="Q15" s="22" t="s">
        <v>532</v>
      </c>
    </row>
    <row r="16" spans="1:17" s="3" customFormat="1" ht="12" customHeight="1">
      <c r="A16" s="19">
        <v>11</v>
      </c>
      <c r="B16" s="24" t="s">
        <v>381</v>
      </c>
      <c r="C16" s="23" t="s">
        <v>469</v>
      </c>
      <c r="D16" s="23" t="s">
        <v>120</v>
      </c>
      <c r="E16" s="23" t="s">
        <v>533</v>
      </c>
      <c r="F16" s="23" t="s">
        <v>534</v>
      </c>
      <c r="G16" s="28" t="s">
        <v>535</v>
      </c>
      <c r="H16" s="23" t="s">
        <v>100</v>
      </c>
      <c r="I16" s="23">
        <v>1</v>
      </c>
      <c r="J16" s="23" t="s">
        <v>500</v>
      </c>
      <c r="K16" s="23" t="s">
        <v>536</v>
      </c>
      <c r="L16" s="23" t="s">
        <v>537</v>
      </c>
      <c r="M16" s="23" t="s">
        <v>14</v>
      </c>
      <c r="N16" s="23" t="s">
        <v>14</v>
      </c>
      <c r="O16" s="23" t="s">
        <v>506</v>
      </c>
      <c r="P16" s="23"/>
      <c r="Q16" s="34" t="s">
        <v>538</v>
      </c>
    </row>
    <row r="17" spans="1:17" s="3" customFormat="1" ht="12" customHeight="1">
      <c r="A17" s="19"/>
      <c r="B17" s="24" t="s">
        <v>381</v>
      </c>
      <c r="C17" s="23" t="s">
        <v>469</v>
      </c>
      <c r="D17" s="23" t="s">
        <v>120</v>
      </c>
      <c r="E17" s="23" t="s">
        <v>533</v>
      </c>
      <c r="F17" s="23" t="s">
        <v>534</v>
      </c>
      <c r="G17" s="28" t="s">
        <v>535</v>
      </c>
      <c r="H17" s="23" t="s">
        <v>293</v>
      </c>
      <c r="I17" s="23">
        <v>1</v>
      </c>
      <c r="J17" s="23" t="s">
        <v>500</v>
      </c>
      <c r="K17" s="23">
        <v>2024</v>
      </c>
      <c r="L17" s="23" t="s">
        <v>539</v>
      </c>
      <c r="M17" s="23" t="s">
        <v>53</v>
      </c>
      <c r="N17" s="23"/>
      <c r="O17" s="23" t="s">
        <v>477</v>
      </c>
      <c r="P17" s="23"/>
      <c r="Q17" s="34" t="s">
        <v>540</v>
      </c>
    </row>
    <row r="18" spans="1:17" s="3" customFormat="1" ht="33.950000000000003" customHeight="1">
      <c r="A18" s="19"/>
      <c r="B18" s="24" t="s">
        <v>381</v>
      </c>
      <c r="C18" s="23" t="s">
        <v>469</v>
      </c>
      <c r="D18" s="23" t="s">
        <v>224</v>
      </c>
      <c r="E18" s="23" t="s">
        <v>533</v>
      </c>
      <c r="F18" s="23"/>
      <c r="G18" s="123" t="s">
        <v>541</v>
      </c>
      <c r="H18" s="23" t="s">
        <v>111</v>
      </c>
      <c r="I18" s="23">
        <v>1</v>
      </c>
      <c r="J18" s="23" t="s">
        <v>479</v>
      </c>
      <c r="K18" s="23" t="s">
        <v>505</v>
      </c>
      <c r="L18" s="23" t="s">
        <v>537</v>
      </c>
      <c r="M18" s="23" t="s">
        <v>14</v>
      </c>
      <c r="N18" s="23"/>
      <c r="O18" s="23" t="s">
        <v>506</v>
      </c>
      <c r="P18" s="23"/>
      <c r="Q18" s="34"/>
    </row>
    <row r="19" spans="1:17" s="3" customFormat="1" ht="29.25" customHeight="1">
      <c r="A19" s="19">
        <v>12</v>
      </c>
      <c r="B19" s="21" t="s">
        <v>382</v>
      </c>
      <c r="C19" s="21" t="s">
        <v>469</v>
      </c>
      <c r="D19" s="27" t="s">
        <v>542</v>
      </c>
      <c r="E19" s="21" t="s">
        <v>543</v>
      </c>
      <c r="F19" s="21" t="s">
        <v>544</v>
      </c>
      <c r="G19" s="20" t="s">
        <v>545</v>
      </c>
      <c r="H19" s="21" t="s">
        <v>225</v>
      </c>
      <c r="I19" s="21">
        <v>6</v>
      </c>
      <c r="J19" s="21" t="s">
        <v>479</v>
      </c>
      <c r="K19" s="21" t="s">
        <v>546</v>
      </c>
      <c r="L19" s="21" t="s">
        <v>476</v>
      </c>
      <c r="M19" s="21" t="s">
        <v>14</v>
      </c>
      <c r="N19" s="21" t="s">
        <v>14</v>
      </c>
      <c r="O19" s="21" t="s">
        <v>506</v>
      </c>
      <c r="P19" s="21"/>
      <c r="Q19" s="22" t="s">
        <v>547</v>
      </c>
    </row>
    <row r="20" spans="1:17" s="3" customFormat="1" ht="22.5" customHeight="1">
      <c r="A20" s="19">
        <v>13</v>
      </c>
      <c r="B20" s="24" t="s">
        <v>548</v>
      </c>
      <c r="C20" s="23" t="s">
        <v>469</v>
      </c>
      <c r="D20" s="24" t="s">
        <v>549</v>
      </c>
      <c r="E20" s="23" t="s">
        <v>550</v>
      </c>
      <c r="F20" s="23" t="s">
        <v>551</v>
      </c>
      <c r="G20" s="25" t="s">
        <v>552</v>
      </c>
      <c r="H20" s="23" t="s">
        <v>293</v>
      </c>
      <c r="I20" s="23">
        <v>2</v>
      </c>
      <c r="J20" s="23" t="s">
        <v>525</v>
      </c>
      <c r="K20" s="23" t="s">
        <v>492</v>
      </c>
      <c r="L20" s="23" t="s">
        <v>553</v>
      </c>
      <c r="M20" s="23" t="s">
        <v>14</v>
      </c>
      <c r="N20" s="23"/>
      <c r="O20" s="23" t="s">
        <v>506</v>
      </c>
      <c r="P20" s="23"/>
      <c r="Q20" s="34" t="s">
        <v>554</v>
      </c>
    </row>
    <row r="21" spans="1:17" s="3" customFormat="1" ht="12" customHeight="1">
      <c r="A21" s="19"/>
      <c r="B21" s="24" t="s">
        <v>548</v>
      </c>
      <c r="C21" s="23" t="s">
        <v>469</v>
      </c>
      <c r="D21" s="24" t="s">
        <v>549</v>
      </c>
      <c r="E21" s="23" t="s">
        <v>550</v>
      </c>
      <c r="F21" s="23" t="s">
        <v>551</v>
      </c>
      <c r="G21" s="25" t="s">
        <v>552</v>
      </c>
      <c r="H21" s="23" t="s">
        <v>555</v>
      </c>
      <c r="I21" s="23">
        <v>1</v>
      </c>
      <c r="J21" s="23" t="s">
        <v>500</v>
      </c>
      <c r="K21" s="23" t="s">
        <v>492</v>
      </c>
      <c r="L21" s="23" t="s">
        <v>553</v>
      </c>
      <c r="M21" s="23" t="s">
        <v>14</v>
      </c>
      <c r="N21" s="23"/>
      <c r="O21" s="23" t="s">
        <v>506</v>
      </c>
      <c r="P21" s="23"/>
      <c r="Q21" s="34" t="s">
        <v>556</v>
      </c>
    </row>
    <row r="22" spans="1:17" s="3" customFormat="1" ht="12.95" customHeight="1">
      <c r="A22" s="19"/>
      <c r="B22" s="24" t="s">
        <v>548</v>
      </c>
      <c r="C22" s="23" t="s">
        <v>469</v>
      </c>
      <c r="D22" s="24" t="s">
        <v>549</v>
      </c>
      <c r="E22" s="23" t="s">
        <v>550</v>
      </c>
      <c r="F22" s="23" t="s">
        <v>551</v>
      </c>
      <c r="G22" s="25" t="s">
        <v>552</v>
      </c>
      <c r="H22" s="23" t="s">
        <v>557</v>
      </c>
      <c r="I22" s="23">
        <v>2</v>
      </c>
      <c r="J22" s="23" t="s">
        <v>500</v>
      </c>
      <c r="K22" s="23" t="s">
        <v>492</v>
      </c>
      <c r="L22" s="23" t="s">
        <v>553</v>
      </c>
      <c r="M22" s="23" t="s">
        <v>14</v>
      </c>
      <c r="N22" s="23"/>
      <c r="O22" s="23" t="s">
        <v>506</v>
      </c>
      <c r="P22" s="23"/>
      <c r="Q22" s="34" t="s">
        <v>558</v>
      </c>
    </row>
    <row r="23" spans="1:17" s="3" customFormat="1" ht="12.95" customHeight="1">
      <c r="A23" s="19"/>
      <c r="B23" s="24" t="s">
        <v>548</v>
      </c>
      <c r="C23" s="23" t="s">
        <v>469</v>
      </c>
      <c r="D23" s="24" t="s">
        <v>549</v>
      </c>
      <c r="E23" s="23" t="s">
        <v>550</v>
      </c>
      <c r="F23" s="23" t="s">
        <v>551</v>
      </c>
      <c r="G23" s="25" t="s">
        <v>552</v>
      </c>
      <c r="H23" s="23" t="s">
        <v>559</v>
      </c>
      <c r="I23" s="23">
        <v>3</v>
      </c>
      <c r="J23" s="23" t="s">
        <v>500</v>
      </c>
      <c r="K23" s="23" t="s">
        <v>560</v>
      </c>
      <c r="L23" s="23" t="s">
        <v>553</v>
      </c>
      <c r="M23" s="23" t="s">
        <v>14</v>
      </c>
      <c r="N23" s="23"/>
      <c r="O23" s="23" t="s">
        <v>506</v>
      </c>
      <c r="P23" s="23"/>
      <c r="Q23" s="34"/>
    </row>
    <row r="24" spans="1:17" s="3" customFormat="1" ht="12.95" customHeight="1">
      <c r="A24" s="19"/>
      <c r="B24" s="24" t="s">
        <v>548</v>
      </c>
      <c r="C24" s="23" t="s">
        <v>469</v>
      </c>
      <c r="D24" s="24" t="s">
        <v>549</v>
      </c>
      <c r="E24" s="23" t="s">
        <v>550</v>
      </c>
      <c r="F24" s="23" t="s">
        <v>551</v>
      </c>
      <c r="G24" s="25" t="s">
        <v>552</v>
      </c>
      <c r="H24" s="23" t="s">
        <v>561</v>
      </c>
      <c r="I24" s="23">
        <v>1</v>
      </c>
      <c r="J24" s="23" t="s">
        <v>500</v>
      </c>
      <c r="K24" s="23" t="s">
        <v>560</v>
      </c>
      <c r="L24" s="23" t="s">
        <v>553</v>
      </c>
      <c r="M24" s="23" t="s">
        <v>14</v>
      </c>
      <c r="N24" s="23"/>
      <c r="O24" s="23" t="s">
        <v>506</v>
      </c>
      <c r="P24" s="23"/>
      <c r="Q24" s="34"/>
    </row>
    <row r="25" spans="1:17" s="3" customFormat="1" ht="22.5" customHeight="1">
      <c r="A25" s="19">
        <v>14</v>
      </c>
      <c r="B25" s="27" t="s">
        <v>388</v>
      </c>
      <c r="C25" s="21" t="s">
        <v>469</v>
      </c>
      <c r="D25" s="27" t="s">
        <v>562</v>
      </c>
      <c r="E25" s="21" t="s">
        <v>563</v>
      </c>
      <c r="F25" s="21" t="s">
        <v>564</v>
      </c>
      <c r="G25" s="20" t="s">
        <v>565</v>
      </c>
      <c r="H25" s="21" t="s">
        <v>20</v>
      </c>
      <c r="I25" s="21">
        <v>1</v>
      </c>
      <c r="J25" s="21" t="s">
        <v>479</v>
      </c>
      <c r="K25" s="21" t="s">
        <v>530</v>
      </c>
      <c r="L25" s="21" t="s">
        <v>476</v>
      </c>
      <c r="M25" s="21" t="s">
        <v>14</v>
      </c>
      <c r="N25" s="21" t="s">
        <v>14</v>
      </c>
      <c r="O25" s="21" t="s">
        <v>506</v>
      </c>
      <c r="P25" s="21"/>
      <c r="Q25" s="22" t="s">
        <v>566</v>
      </c>
    </row>
    <row r="26" spans="1:17" s="3" customFormat="1" ht="78.75">
      <c r="A26" s="19">
        <v>15</v>
      </c>
      <c r="B26" s="23" t="s">
        <v>385</v>
      </c>
      <c r="C26" s="23" t="s">
        <v>469</v>
      </c>
      <c r="D26" s="23" t="s">
        <v>567</v>
      </c>
      <c r="E26" s="23"/>
      <c r="F26" s="23" t="s">
        <v>568</v>
      </c>
      <c r="G26" s="28" t="s">
        <v>569</v>
      </c>
      <c r="H26" s="23" t="s">
        <v>570</v>
      </c>
      <c r="I26" s="23">
        <v>2</v>
      </c>
      <c r="J26" s="23" t="s">
        <v>571</v>
      </c>
      <c r="K26" s="23" t="s">
        <v>536</v>
      </c>
      <c r="L26" s="23" t="s">
        <v>476</v>
      </c>
      <c r="M26" s="23" t="s">
        <v>14</v>
      </c>
      <c r="N26" s="23" t="s">
        <v>14</v>
      </c>
      <c r="O26" s="23" t="s">
        <v>506</v>
      </c>
      <c r="P26" s="23"/>
      <c r="Q26" s="34" t="s">
        <v>572</v>
      </c>
    </row>
    <row r="27" spans="1:17" s="3" customFormat="1" ht="17.25" customHeight="1">
      <c r="A27" s="19"/>
      <c r="B27" s="23" t="s">
        <v>385</v>
      </c>
      <c r="C27" s="23" t="s">
        <v>469</v>
      </c>
      <c r="D27" s="23" t="s">
        <v>567</v>
      </c>
      <c r="E27" s="23"/>
      <c r="F27" s="23" t="s">
        <v>568</v>
      </c>
      <c r="G27" s="28" t="s">
        <v>569</v>
      </c>
      <c r="H27" s="23" t="s">
        <v>134</v>
      </c>
      <c r="I27" s="23">
        <v>2</v>
      </c>
      <c r="J27" s="23" t="s">
        <v>571</v>
      </c>
      <c r="K27" s="23" t="s">
        <v>573</v>
      </c>
      <c r="L27" s="23" t="s">
        <v>476</v>
      </c>
      <c r="M27" s="23" t="s">
        <v>14</v>
      </c>
      <c r="N27" s="376" t="s">
        <v>14</v>
      </c>
      <c r="O27" s="23" t="s">
        <v>506</v>
      </c>
      <c r="P27" s="23"/>
      <c r="Q27" s="34"/>
    </row>
    <row r="28" spans="1:17" s="3" customFormat="1" ht="12" customHeight="1">
      <c r="A28" s="19"/>
      <c r="B28" s="23" t="s">
        <v>385</v>
      </c>
      <c r="C28" s="23" t="s">
        <v>469</v>
      </c>
      <c r="D28" s="23" t="s">
        <v>567</v>
      </c>
      <c r="E28" s="23"/>
      <c r="F28" s="23" t="s">
        <v>568</v>
      </c>
      <c r="G28" s="28" t="s">
        <v>569</v>
      </c>
      <c r="H28" s="23" t="s">
        <v>231</v>
      </c>
      <c r="I28" s="23">
        <v>5</v>
      </c>
      <c r="J28" s="23" t="s">
        <v>574</v>
      </c>
      <c r="K28" s="23" t="s">
        <v>575</v>
      </c>
      <c r="L28" s="23" t="s">
        <v>476</v>
      </c>
      <c r="M28" s="23" t="s">
        <v>14</v>
      </c>
      <c r="N28" s="378"/>
      <c r="O28" s="23" t="s">
        <v>506</v>
      </c>
      <c r="P28" s="23"/>
      <c r="Q28" s="34"/>
    </row>
    <row r="29" spans="1:17" s="3" customFormat="1" ht="12" customHeight="1">
      <c r="A29" s="19"/>
      <c r="B29" s="23" t="s">
        <v>385</v>
      </c>
      <c r="C29" s="23" t="s">
        <v>469</v>
      </c>
      <c r="D29" s="23" t="s">
        <v>567</v>
      </c>
      <c r="E29" s="23"/>
      <c r="F29" s="23" t="s">
        <v>568</v>
      </c>
      <c r="G29" s="28" t="s">
        <v>569</v>
      </c>
      <c r="H29" s="23" t="s">
        <v>576</v>
      </c>
      <c r="I29" s="23">
        <v>8</v>
      </c>
      <c r="J29" s="23" t="s">
        <v>574</v>
      </c>
      <c r="K29" s="23" t="s">
        <v>536</v>
      </c>
      <c r="L29" s="23" t="s">
        <v>476</v>
      </c>
      <c r="M29" s="23" t="s">
        <v>14</v>
      </c>
      <c r="N29" s="378"/>
      <c r="O29" s="23" t="s">
        <v>506</v>
      </c>
      <c r="P29" s="23"/>
      <c r="Q29" s="34"/>
    </row>
    <row r="30" spans="1:17" s="3" customFormat="1" ht="24" customHeight="1">
      <c r="A30" s="19"/>
      <c r="B30" s="23" t="s">
        <v>385</v>
      </c>
      <c r="C30" s="23" t="s">
        <v>469</v>
      </c>
      <c r="D30" s="23" t="s">
        <v>567</v>
      </c>
      <c r="E30" s="23"/>
      <c r="F30" s="23" t="s">
        <v>568</v>
      </c>
      <c r="G30" s="28" t="s">
        <v>569</v>
      </c>
      <c r="H30" s="23" t="s">
        <v>255</v>
      </c>
      <c r="I30" s="23">
        <v>4</v>
      </c>
      <c r="J30" s="23" t="s">
        <v>574</v>
      </c>
      <c r="K30" s="23" t="s">
        <v>577</v>
      </c>
      <c r="L30" s="23" t="s">
        <v>476</v>
      </c>
      <c r="M30" s="23" t="s">
        <v>14</v>
      </c>
      <c r="N30" s="378"/>
      <c r="O30" s="23" t="s">
        <v>506</v>
      </c>
      <c r="P30" s="23"/>
      <c r="Q30" s="34"/>
    </row>
    <row r="31" spans="1:17" s="3" customFormat="1" ht="12.95" customHeight="1">
      <c r="A31" s="19"/>
      <c r="B31" s="23" t="s">
        <v>385</v>
      </c>
      <c r="C31" s="23" t="s">
        <v>469</v>
      </c>
      <c r="D31" s="23" t="s">
        <v>567</v>
      </c>
      <c r="E31" s="23"/>
      <c r="F31" s="23" t="s">
        <v>568</v>
      </c>
      <c r="G31" s="28" t="s">
        <v>569</v>
      </c>
      <c r="H31" s="23" t="s">
        <v>111</v>
      </c>
      <c r="I31" s="23">
        <v>1</v>
      </c>
      <c r="J31" s="23" t="s">
        <v>479</v>
      </c>
      <c r="K31" s="23" t="s">
        <v>526</v>
      </c>
      <c r="L31" s="23" t="s">
        <v>476</v>
      </c>
      <c r="M31" s="23" t="s">
        <v>14</v>
      </c>
      <c r="N31" s="378"/>
      <c r="O31" s="23" t="s">
        <v>506</v>
      </c>
      <c r="P31" s="23"/>
      <c r="Q31" s="34" t="s">
        <v>578</v>
      </c>
    </row>
    <row r="32" spans="1:17" s="3" customFormat="1" ht="12.95" customHeight="1">
      <c r="A32" s="19"/>
      <c r="B32" s="23" t="s">
        <v>385</v>
      </c>
      <c r="C32" s="23" t="s">
        <v>469</v>
      </c>
      <c r="D32" s="23" t="s">
        <v>567</v>
      </c>
      <c r="E32" s="23"/>
      <c r="F32" s="23" t="s">
        <v>568</v>
      </c>
      <c r="G32" s="28" t="s">
        <v>569</v>
      </c>
      <c r="H32" s="23" t="s">
        <v>20</v>
      </c>
      <c r="I32" s="23">
        <v>2</v>
      </c>
      <c r="J32" s="23" t="s">
        <v>479</v>
      </c>
      <c r="K32" s="23" t="s">
        <v>492</v>
      </c>
      <c r="L32" s="23" t="s">
        <v>476</v>
      </c>
      <c r="M32" s="23" t="s">
        <v>14</v>
      </c>
      <c r="N32" s="378"/>
      <c r="O32" s="23" t="s">
        <v>506</v>
      </c>
      <c r="P32" s="23"/>
      <c r="Q32" s="34" t="s">
        <v>578</v>
      </c>
    </row>
    <row r="33" spans="1:17" s="3" customFormat="1" ht="12.95" customHeight="1">
      <c r="A33" s="19"/>
      <c r="B33" s="23" t="s">
        <v>385</v>
      </c>
      <c r="C33" s="23" t="s">
        <v>469</v>
      </c>
      <c r="D33" s="23" t="s">
        <v>567</v>
      </c>
      <c r="E33" s="23"/>
      <c r="F33" s="23" t="s">
        <v>568</v>
      </c>
      <c r="G33" s="28" t="s">
        <v>569</v>
      </c>
      <c r="H33" s="23" t="s">
        <v>12</v>
      </c>
      <c r="I33" s="23">
        <v>1</v>
      </c>
      <c r="J33" s="23" t="s">
        <v>479</v>
      </c>
      <c r="K33" s="23" t="s">
        <v>536</v>
      </c>
      <c r="L33" s="23" t="s">
        <v>476</v>
      </c>
      <c r="M33" s="23" t="s">
        <v>14</v>
      </c>
      <c r="N33" s="378"/>
      <c r="O33" s="23" t="s">
        <v>506</v>
      </c>
      <c r="P33" s="23"/>
      <c r="Q33" s="34" t="s">
        <v>578</v>
      </c>
    </row>
    <row r="34" spans="1:17" s="3" customFormat="1" ht="12.95" customHeight="1">
      <c r="A34" s="19"/>
      <c r="B34" s="23" t="s">
        <v>385</v>
      </c>
      <c r="C34" s="23" t="s">
        <v>469</v>
      </c>
      <c r="D34" s="23" t="s">
        <v>567</v>
      </c>
      <c r="E34" s="23"/>
      <c r="F34" s="23" t="s">
        <v>568</v>
      </c>
      <c r="G34" s="28" t="s">
        <v>569</v>
      </c>
      <c r="H34" s="23" t="s">
        <v>25</v>
      </c>
      <c r="I34" s="23">
        <v>2</v>
      </c>
      <c r="J34" s="23" t="s">
        <v>479</v>
      </c>
      <c r="K34" s="23" t="s">
        <v>536</v>
      </c>
      <c r="L34" s="23" t="s">
        <v>476</v>
      </c>
      <c r="M34" s="23" t="s">
        <v>14</v>
      </c>
      <c r="N34" s="377"/>
      <c r="O34" s="23" t="s">
        <v>506</v>
      </c>
      <c r="P34" s="23"/>
      <c r="Q34" s="34" t="s">
        <v>579</v>
      </c>
    </row>
    <row r="35" spans="1:17" s="3" customFormat="1" ht="12.95" customHeight="1">
      <c r="A35" s="19"/>
      <c r="B35" s="23" t="s">
        <v>385</v>
      </c>
      <c r="C35" s="23" t="s">
        <v>469</v>
      </c>
      <c r="D35" s="23" t="s">
        <v>567</v>
      </c>
      <c r="E35" s="23"/>
      <c r="F35" s="23" t="s">
        <v>568</v>
      </c>
      <c r="G35" s="28" t="s">
        <v>569</v>
      </c>
      <c r="H35" s="23" t="s">
        <v>580</v>
      </c>
      <c r="I35" s="23">
        <v>1</v>
      </c>
      <c r="J35" s="23" t="s">
        <v>479</v>
      </c>
      <c r="K35" s="23" t="s">
        <v>581</v>
      </c>
      <c r="L35" s="23" t="s">
        <v>539</v>
      </c>
      <c r="M35" s="23" t="s">
        <v>53</v>
      </c>
      <c r="N35" s="356" t="s">
        <v>53</v>
      </c>
      <c r="O35" s="23" t="s">
        <v>477</v>
      </c>
      <c r="P35" s="23"/>
      <c r="Q35" s="34" t="s">
        <v>582</v>
      </c>
    </row>
    <row r="36" spans="1:17" s="3" customFormat="1" ht="24" customHeight="1">
      <c r="A36" s="19">
        <v>16</v>
      </c>
      <c r="B36" s="27" t="s">
        <v>387</v>
      </c>
      <c r="C36" s="21" t="s">
        <v>469</v>
      </c>
      <c r="D36" s="27" t="s">
        <v>286</v>
      </c>
      <c r="E36" s="27" t="s">
        <v>583</v>
      </c>
      <c r="F36" s="27"/>
      <c r="G36" s="20" t="s">
        <v>584</v>
      </c>
      <c r="H36" s="21" t="s">
        <v>559</v>
      </c>
      <c r="I36" s="21">
        <v>1</v>
      </c>
      <c r="J36" s="21" t="s">
        <v>585</v>
      </c>
      <c r="K36" s="21" t="s">
        <v>522</v>
      </c>
      <c r="L36" s="21" t="s">
        <v>553</v>
      </c>
      <c r="M36" s="21" t="s">
        <v>14</v>
      </c>
      <c r="N36" s="372" t="s">
        <v>14</v>
      </c>
      <c r="O36" s="21" t="s">
        <v>506</v>
      </c>
      <c r="P36" s="21"/>
      <c r="Q36" s="35" t="s">
        <v>586</v>
      </c>
    </row>
    <row r="37" spans="1:17" s="3" customFormat="1" ht="12.95" customHeight="1">
      <c r="A37" s="19"/>
      <c r="B37" s="27" t="s">
        <v>387</v>
      </c>
      <c r="C37" s="21" t="s">
        <v>469</v>
      </c>
      <c r="D37" s="27" t="s">
        <v>286</v>
      </c>
      <c r="E37" s="27" t="s">
        <v>583</v>
      </c>
      <c r="F37" s="27"/>
      <c r="G37" s="20" t="s">
        <v>584</v>
      </c>
      <c r="H37" s="21" t="s">
        <v>587</v>
      </c>
      <c r="I37" s="21">
        <v>1</v>
      </c>
      <c r="J37" s="21" t="s">
        <v>585</v>
      </c>
      <c r="K37" s="21" t="s">
        <v>522</v>
      </c>
      <c r="L37" s="21" t="s">
        <v>553</v>
      </c>
      <c r="M37" s="21" t="s">
        <v>14</v>
      </c>
      <c r="N37" s="379"/>
      <c r="O37" s="21" t="s">
        <v>506</v>
      </c>
      <c r="P37" s="21"/>
      <c r="Q37" s="35"/>
    </row>
    <row r="38" spans="1:17" s="3" customFormat="1" ht="12.95" customHeight="1">
      <c r="A38" s="19"/>
      <c r="B38" s="27" t="s">
        <v>387</v>
      </c>
      <c r="C38" s="21" t="s">
        <v>469</v>
      </c>
      <c r="D38" s="27" t="s">
        <v>286</v>
      </c>
      <c r="E38" s="27" t="s">
        <v>583</v>
      </c>
      <c r="F38" s="27"/>
      <c r="G38" s="20" t="s">
        <v>584</v>
      </c>
      <c r="H38" s="21" t="s">
        <v>588</v>
      </c>
      <c r="I38" s="21">
        <v>1</v>
      </c>
      <c r="J38" s="21" t="s">
        <v>585</v>
      </c>
      <c r="K38" s="21" t="s">
        <v>522</v>
      </c>
      <c r="L38" s="21" t="s">
        <v>553</v>
      </c>
      <c r="M38" s="21" t="s">
        <v>14</v>
      </c>
      <c r="N38" s="373"/>
      <c r="O38" s="21" t="s">
        <v>506</v>
      </c>
      <c r="P38" s="21"/>
      <c r="Q38" s="35"/>
    </row>
    <row r="39" spans="1:17" ht="22.5" customHeight="1">
      <c r="A39" s="19">
        <v>17</v>
      </c>
      <c r="B39" s="24" t="s">
        <v>389</v>
      </c>
      <c r="C39" s="23" t="s">
        <v>469</v>
      </c>
      <c r="D39" s="24" t="s">
        <v>589</v>
      </c>
      <c r="E39" s="23" t="s">
        <v>590</v>
      </c>
      <c r="F39" s="23" t="s">
        <v>591</v>
      </c>
      <c r="G39" s="28" t="s">
        <v>592</v>
      </c>
      <c r="H39" s="23" t="s">
        <v>25</v>
      </c>
      <c r="I39" s="23">
        <v>1</v>
      </c>
      <c r="J39" s="23" t="s">
        <v>500</v>
      </c>
      <c r="K39" s="23" t="s">
        <v>546</v>
      </c>
      <c r="L39" s="23" t="s">
        <v>476</v>
      </c>
      <c r="M39" s="23" t="s">
        <v>14</v>
      </c>
      <c r="N39" s="23" t="s">
        <v>14</v>
      </c>
      <c r="O39" s="23" t="s">
        <v>506</v>
      </c>
      <c r="P39" s="23"/>
      <c r="Q39" s="26"/>
    </row>
    <row r="40" spans="1:17" ht="12.95" customHeight="1">
      <c r="A40" s="19">
        <v>18</v>
      </c>
      <c r="B40" s="27" t="s">
        <v>390</v>
      </c>
      <c r="C40" s="21" t="s">
        <v>469</v>
      </c>
      <c r="D40" s="27" t="s">
        <v>212</v>
      </c>
      <c r="E40" s="21" t="s">
        <v>593</v>
      </c>
      <c r="F40" s="21" t="s">
        <v>594</v>
      </c>
      <c r="G40" s="30" t="s">
        <v>595</v>
      </c>
      <c r="H40" s="21" t="s">
        <v>255</v>
      </c>
      <c r="I40" s="21">
        <v>2</v>
      </c>
      <c r="J40" s="21" t="s">
        <v>596</v>
      </c>
      <c r="K40" s="21" t="s">
        <v>597</v>
      </c>
      <c r="L40" s="21" t="s">
        <v>476</v>
      </c>
      <c r="M40" s="21" t="s">
        <v>14</v>
      </c>
      <c r="N40" s="372" t="s">
        <v>14</v>
      </c>
      <c r="O40" s="21" t="s">
        <v>506</v>
      </c>
      <c r="P40" s="21"/>
      <c r="Q40" s="35"/>
    </row>
    <row r="41" spans="1:17" ht="12.95" customHeight="1">
      <c r="A41" s="19"/>
      <c r="B41" s="27" t="s">
        <v>390</v>
      </c>
      <c r="C41" s="21" t="s">
        <v>469</v>
      </c>
      <c r="D41" s="27" t="s">
        <v>212</v>
      </c>
      <c r="E41" s="21" t="s">
        <v>593</v>
      </c>
      <c r="F41" s="21" t="s">
        <v>594</v>
      </c>
      <c r="G41" s="30" t="s">
        <v>595</v>
      </c>
      <c r="H41" s="21" t="s">
        <v>178</v>
      </c>
      <c r="I41" s="21">
        <v>1</v>
      </c>
      <c r="J41" s="21" t="s">
        <v>596</v>
      </c>
      <c r="K41" s="21" t="s">
        <v>522</v>
      </c>
      <c r="L41" s="21" t="s">
        <v>476</v>
      </c>
      <c r="M41" s="21" t="s">
        <v>14</v>
      </c>
      <c r="N41" s="379"/>
      <c r="O41" s="21" t="s">
        <v>506</v>
      </c>
      <c r="P41" s="21"/>
      <c r="Q41" s="35"/>
    </row>
    <row r="42" spans="1:17" ht="12.95" customHeight="1">
      <c r="A42" s="19"/>
      <c r="B42" s="27" t="s">
        <v>390</v>
      </c>
      <c r="C42" s="21" t="s">
        <v>469</v>
      </c>
      <c r="D42" s="27" t="s">
        <v>212</v>
      </c>
      <c r="E42" s="21" t="s">
        <v>593</v>
      </c>
      <c r="F42" s="21" t="s">
        <v>594</v>
      </c>
      <c r="G42" s="30" t="s">
        <v>595</v>
      </c>
      <c r="H42" s="21" t="s">
        <v>598</v>
      </c>
      <c r="I42" s="21">
        <v>1</v>
      </c>
      <c r="J42" s="21" t="s">
        <v>596</v>
      </c>
      <c r="K42" s="21" t="s">
        <v>522</v>
      </c>
      <c r="L42" s="21" t="s">
        <v>476</v>
      </c>
      <c r="M42" s="21" t="s">
        <v>14</v>
      </c>
      <c r="N42" s="373"/>
      <c r="O42" s="21" t="s">
        <v>506</v>
      </c>
      <c r="P42" s="21"/>
      <c r="Q42" s="35"/>
    </row>
    <row r="43" spans="1:17" ht="22.5" customHeight="1">
      <c r="A43" s="19">
        <v>19</v>
      </c>
      <c r="B43" s="24" t="s">
        <v>391</v>
      </c>
      <c r="C43" s="23" t="s">
        <v>469</v>
      </c>
      <c r="D43" s="24" t="s">
        <v>599</v>
      </c>
      <c r="E43" s="23" t="s">
        <v>600</v>
      </c>
      <c r="F43" s="23" t="s">
        <v>601</v>
      </c>
      <c r="G43" s="28" t="s">
        <v>602</v>
      </c>
      <c r="H43" s="23" t="s">
        <v>255</v>
      </c>
      <c r="I43" s="23">
        <v>2</v>
      </c>
      <c r="J43" s="23" t="s">
        <v>596</v>
      </c>
      <c r="K43" s="23" t="s">
        <v>522</v>
      </c>
      <c r="L43" s="23" t="s">
        <v>476</v>
      </c>
      <c r="M43" s="23" t="s">
        <v>14</v>
      </c>
      <c r="N43" s="376" t="s">
        <v>14</v>
      </c>
      <c r="O43" s="23" t="s">
        <v>506</v>
      </c>
      <c r="P43" s="23"/>
      <c r="Q43" s="34"/>
    </row>
    <row r="44" spans="1:17" ht="22.5" customHeight="1">
      <c r="A44" s="19"/>
      <c r="B44" s="24" t="s">
        <v>391</v>
      </c>
      <c r="C44" s="23" t="s">
        <v>469</v>
      </c>
      <c r="D44" s="24" t="s">
        <v>599</v>
      </c>
      <c r="E44" s="23" t="s">
        <v>600</v>
      </c>
      <c r="F44" s="23" t="s">
        <v>601</v>
      </c>
      <c r="G44" s="28" t="s">
        <v>602</v>
      </c>
      <c r="H44" s="23" t="s">
        <v>178</v>
      </c>
      <c r="I44" s="23">
        <v>1</v>
      </c>
      <c r="J44" s="23" t="s">
        <v>596</v>
      </c>
      <c r="K44" s="23" t="s">
        <v>522</v>
      </c>
      <c r="L44" s="23" t="s">
        <v>476</v>
      </c>
      <c r="M44" s="23" t="s">
        <v>14</v>
      </c>
      <c r="N44" s="377"/>
      <c r="O44" s="23" t="s">
        <v>506</v>
      </c>
      <c r="P44" s="23"/>
      <c r="Q44" s="34"/>
    </row>
    <row r="45" spans="1:17" ht="12" customHeight="1">
      <c r="A45" s="19">
        <v>20</v>
      </c>
      <c r="B45" s="27" t="s">
        <v>392</v>
      </c>
      <c r="C45" s="21" t="s">
        <v>469</v>
      </c>
      <c r="D45" s="27" t="s">
        <v>227</v>
      </c>
      <c r="E45" s="21" t="s">
        <v>603</v>
      </c>
      <c r="F45" s="21" t="s">
        <v>604</v>
      </c>
      <c r="G45" s="199"/>
      <c r="H45" s="21" t="s">
        <v>255</v>
      </c>
      <c r="I45" s="21">
        <v>3</v>
      </c>
      <c r="J45" s="21" t="s">
        <v>596</v>
      </c>
      <c r="K45" s="21" t="s">
        <v>511</v>
      </c>
      <c r="L45" s="21" t="s">
        <v>476</v>
      </c>
      <c r="M45" s="21" t="s">
        <v>14</v>
      </c>
      <c r="N45" s="372" t="s">
        <v>14</v>
      </c>
      <c r="O45" s="21" t="s">
        <v>506</v>
      </c>
      <c r="P45" s="21"/>
      <c r="Q45" s="35"/>
    </row>
    <row r="46" spans="1:17" ht="12.95" customHeight="1">
      <c r="A46" s="19"/>
      <c r="B46" s="27" t="s">
        <v>392</v>
      </c>
      <c r="C46" s="21" t="s">
        <v>469</v>
      </c>
      <c r="D46" s="27" t="s">
        <v>227</v>
      </c>
      <c r="E46" s="21" t="s">
        <v>603</v>
      </c>
      <c r="F46" s="21" t="s">
        <v>604</v>
      </c>
      <c r="G46" s="20"/>
      <c r="H46" s="21" t="s">
        <v>178</v>
      </c>
      <c r="I46" s="21">
        <v>2</v>
      </c>
      <c r="J46" s="21" t="s">
        <v>596</v>
      </c>
      <c r="K46" s="21" t="s">
        <v>511</v>
      </c>
      <c r="L46" s="21" t="s">
        <v>476</v>
      </c>
      <c r="M46" s="21" t="s">
        <v>14</v>
      </c>
      <c r="N46" s="379"/>
      <c r="O46" s="21" t="s">
        <v>506</v>
      </c>
      <c r="P46" s="21"/>
      <c r="Q46" s="35"/>
    </row>
    <row r="47" spans="1:17" ht="12.95" customHeight="1">
      <c r="A47" s="19"/>
      <c r="B47" s="27" t="s">
        <v>392</v>
      </c>
      <c r="C47" s="21" t="s">
        <v>469</v>
      </c>
      <c r="D47" s="27" t="s">
        <v>227</v>
      </c>
      <c r="E47" s="21" t="s">
        <v>603</v>
      </c>
      <c r="F47" s="21" t="s">
        <v>604</v>
      </c>
      <c r="G47" s="20"/>
      <c r="H47" s="21" t="s">
        <v>598</v>
      </c>
      <c r="I47" s="21">
        <v>1</v>
      </c>
      <c r="J47" s="21" t="s">
        <v>596</v>
      </c>
      <c r="K47" s="21" t="s">
        <v>511</v>
      </c>
      <c r="L47" s="21" t="s">
        <v>476</v>
      </c>
      <c r="M47" s="21" t="s">
        <v>14</v>
      </c>
      <c r="N47" s="379"/>
      <c r="O47" s="21" t="s">
        <v>506</v>
      </c>
      <c r="P47" s="21"/>
      <c r="Q47" s="35"/>
    </row>
    <row r="48" spans="1:17" ht="12">
      <c r="A48" s="19"/>
      <c r="B48" s="27" t="s">
        <v>392</v>
      </c>
      <c r="C48" s="21" t="s">
        <v>469</v>
      </c>
      <c r="D48" s="27" t="s">
        <v>227</v>
      </c>
      <c r="E48" s="21" t="s">
        <v>603</v>
      </c>
      <c r="F48" s="21" t="s">
        <v>604</v>
      </c>
      <c r="G48" s="20"/>
      <c r="H48" s="21" t="s">
        <v>58</v>
      </c>
      <c r="I48" s="21">
        <v>1</v>
      </c>
      <c r="J48" s="21" t="s">
        <v>596</v>
      </c>
      <c r="K48" s="21" t="s">
        <v>511</v>
      </c>
      <c r="L48" s="21" t="s">
        <v>476</v>
      </c>
      <c r="M48" s="21" t="s">
        <v>14</v>
      </c>
      <c r="N48" s="379"/>
      <c r="O48" s="21" t="s">
        <v>506</v>
      </c>
      <c r="P48" s="21"/>
      <c r="Q48" s="35"/>
    </row>
    <row r="49" spans="1:17" ht="12.95" customHeight="1">
      <c r="A49" s="19"/>
      <c r="B49" s="27" t="s">
        <v>392</v>
      </c>
      <c r="C49" s="21" t="s">
        <v>469</v>
      </c>
      <c r="D49" s="27" t="s">
        <v>227</v>
      </c>
      <c r="E49" s="21" t="s">
        <v>603</v>
      </c>
      <c r="F49" s="21" t="s">
        <v>604</v>
      </c>
      <c r="G49" s="20"/>
      <c r="H49" s="21" t="s">
        <v>134</v>
      </c>
      <c r="I49" s="21">
        <v>1</v>
      </c>
      <c r="J49" s="21" t="s">
        <v>596</v>
      </c>
      <c r="K49" s="21" t="s">
        <v>511</v>
      </c>
      <c r="L49" s="21" t="s">
        <v>476</v>
      </c>
      <c r="M49" s="21" t="s">
        <v>14</v>
      </c>
      <c r="N49" s="379"/>
      <c r="O49" s="21" t="s">
        <v>506</v>
      </c>
      <c r="P49" s="21"/>
      <c r="Q49" s="35"/>
    </row>
    <row r="50" spans="1:17" ht="12.95" customHeight="1">
      <c r="A50" s="19"/>
      <c r="B50" s="27" t="s">
        <v>392</v>
      </c>
      <c r="C50" s="21" t="s">
        <v>469</v>
      </c>
      <c r="D50" s="27" t="s">
        <v>227</v>
      </c>
      <c r="E50" s="21" t="s">
        <v>603</v>
      </c>
      <c r="F50" s="21" t="s">
        <v>604</v>
      </c>
      <c r="G50" s="20"/>
      <c r="H50" s="21" t="s">
        <v>111</v>
      </c>
      <c r="I50" s="21">
        <v>1</v>
      </c>
      <c r="J50" s="21" t="s">
        <v>479</v>
      </c>
      <c r="K50" s="21" t="s">
        <v>511</v>
      </c>
      <c r="L50" s="21" t="s">
        <v>476</v>
      </c>
      <c r="M50" s="21" t="s">
        <v>14</v>
      </c>
      <c r="N50" s="373"/>
      <c r="O50" s="21" t="s">
        <v>506</v>
      </c>
      <c r="P50" s="21"/>
      <c r="Q50" s="35" t="s">
        <v>578</v>
      </c>
    </row>
    <row r="51" spans="1:17" ht="12.95" customHeight="1">
      <c r="A51" s="19">
        <v>21</v>
      </c>
      <c r="B51" s="23" t="s">
        <v>393</v>
      </c>
      <c r="C51" s="23" t="s">
        <v>469</v>
      </c>
      <c r="D51" s="23" t="s">
        <v>605</v>
      </c>
      <c r="E51" s="23"/>
      <c r="F51" s="23" t="s">
        <v>606</v>
      </c>
      <c r="G51" s="28" t="s">
        <v>607</v>
      </c>
      <c r="H51" s="24" t="s">
        <v>134</v>
      </c>
      <c r="I51" s="24">
        <v>2</v>
      </c>
      <c r="J51" s="24" t="s">
        <v>490</v>
      </c>
      <c r="K51" s="23" t="s">
        <v>505</v>
      </c>
      <c r="L51" s="24" t="s">
        <v>476</v>
      </c>
      <c r="M51" s="24" t="s">
        <v>14</v>
      </c>
      <c r="N51" s="380" t="s">
        <v>14</v>
      </c>
      <c r="O51" s="24" t="s">
        <v>506</v>
      </c>
      <c r="P51" s="24"/>
      <c r="Q51" s="34" t="s">
        <v>608</v>
      </c>
    </row>
    <row r="52" spans="1:17" ht="12.95" customHeight="1">
      <c r="A52" s="19"/>
      <c r="B52" s="23" t="s">
        <v>393</v>
      </c>
      <c r="C52" s="23" t="s">
        <v>469</v>
      </c>
      <c r="D52" s="23" t="s">
        <v>605</v>
      </c>
      <c r="E52" s="23"/>
      <c r="F52" s="23" t="s">
        <v>606</v>
      </c>
      <c r="G52" s="28" t="s">
        <v>607</v>
      </c>
      <c r="H52" s="24" t="s">
        <v>71</v>
      </c>
      <c r="I52" s="24">
        <v>1</v>
      </c>
      <c r="J52" s="24" t="s">
        <v>479</v>
      </c>
      <c r="K52" s="23" t="s">
        <v>505</v>
      </c>
      <c r="L52" s="24" t="s">
        <v>476</v>
      </c>
      <c r="M52" s="24" t="s">
        <v>14</v>
      </c>
      <c r="N52" s="381"/>
      <c r="O52" s="24" t="s">
        <v>506</v>
      </c>
      <c r="P52" s="24"/>
      <c r="Q52" s="34"/>
    </row>
    <row r="53" spans="1:17" ht="12.95" customHeight="1">
      <c r="A53" s="19"/>
      <c r="B53" s="23" t="s">
        <v>393</v>
      </c>
      <c r="C53" s="23" t="s">
        <v>469</v>
      </c>
      <c r="D53" s="23" t="s">
        <v>605</v>
      </c>
      <c r="E53" s="23"/>
      <c r="F53" s="23" t="s">
        <v>606</v>
      </c>
      <c r="G53" s="28" t="s">
        <v>607</v>
      </c>
      <c r="H53" s="24" t="s">
        <v>12</v>
      </c>
      <c r="I53" s="24">
        <v>2</v>
      </c>
      <c r="J53" s="24" t="s">
        <v>571</v>
      </c>
      <c r="K53" s="23" t="s">
        <v>505</v>
      </c>
      <c r="L53" s="24" t="s">
        <v>476</v>
      </c>
      <c r="M53" s="24" t="s">
        <v>14</v>
      </c>
      <c r="N53" s="381"/>
      <c r="O53" s="24" t="s">
        <v>506</v>
      </c>
      <c r="P53" s="24"/>
      <c r="Q53" s="34" t="s">
        <v>578</v>
      </c>
    </row>
    <row r="54" spans="1:17" ht="12.95" customHeight="1">
      <c r="A54" s="19"/>
      <c r="B54" s="23" t="s">
        <v>393</v>
      </c>
      <c r="C54" s="23" t="s">
        <v>469</v>
      </c>
      <c r="D54" s="23" t="s">
        <v>605</v>
      </c>
      <c r="E54" s="23"/>
      <c r="F54" s="23" t="s">
        <v>606</v>
      </c>
      <c r="G54" s="28" t="s">
        <v>607</v>
      </c>
      <c r="H54" s="24" t="s">
        <v>189</v>
      </c>
      <c r="I54" s="24">
        <v>1</v>
      </c>
      <c r="J54" s="24" t="s">
        <v>510</v>
      </c>
      <c r="K54" s="23" t="s">
        <v>505</v>
      </c>
      <c r="L54" s="24" t="s">
        <v>476</v>
      </c>
      <c r="M54" s="24" t="s">
        <v>14</v>
      </c>
      <c r="N54" s="382"/>
      <c r="O54" s="24" t="s">
        <v>506</v>
      </c>
      <c r="P54" s="24"/>
      <c r="Q54" s="34" t="s">
        <v>609</v>
      </c>
    </row>
    <row r="55" spans="1:17" ht="25.5" customHeight="1">
      <c r="A55" s="19">
        <v>22</v>
      </c>
      <c r="B55" s="27" t="s">
        <v>394</v>
      </c>
      <c r="C55" s="21" t="s">
        <v>469</v>
      </c>
      <c r="D55" s="27" t="s">
        <v>90</v>
      </c>
      <c r="E55" s="27" t="s">
        <v>610</v>
      </c>
      <c r="F55" s="27"/>
      <c r="G55" s="108" t="s">
        <v>611</v>
      </c>
      <c r="H55" s="27" t="s">
        <v>12</v>
      </c>
      <c r="I55" s="27">
        <v>1</v>
      </c>
      <c r="J55" s="27" t="s">
        <v>479</v>
      </c>
      <c r="K55" s="27" t="s">
        <v>505</v>
      </c>
      <c r="L55" s="21" t="s">
        <v>476</v>
      </c>
      <c r="M55" s="27" t="s">
        <v>14</v>
      </c>
      <c r="N55" s="27" t="s">
        <v>14</v>
      </c>
      <c r="O55" s="27" t="s">
        <v>477</v>
      </c>
      <c r="P55" s="27"/>
      <c r="Q55" s="22" t="s">
        <v>612</v>
      </c>
    </row>
    <row r="56" spans="1:17" ht="12.95" customHeight="1">
      <c r="A56" s="19">
        <v>23</v>
      </c>
      <c r="B56" s="24" t="s">
        <v>395</v>
      </c>
      <c r="C56" s="23" t="s">
        <v>469</v>
      </c>
      <c r="D56" s="24" t="s">
        <v>36</v>
      </c>
      <c r="E56" s="24" t="s">
        <v>613</v>
      </c>
      <c r="F56" s="24" t="s">
        <v>614</v>
      </c>
      <c r="G56" s="25" t="s">
        <v>615</v>
      </c>
      <c r="H56" s="24" t="s">
        <v>134</v>
      </c>
      <c r="I56" s="24">
        <v>1</v>
      </c>
      <c r="J56" s="24" t="s">
        <v>500</v>
      </c>
      <c r="K56" s="23" t="s">
        <v>492</v>
      </c>
      <c r="L56" s="24" t="s">
        <v>476</v>
      </c>
      <c r="M56" s="24" t="s">
        <v>14</v>
      </c>
      <c r="N56" s="380" t="s">
        <v>14</v>
      </c>
      <c r="O56" s="24" t="s">
        <v>506</v>
      </c>
      <c r="P56" s="24"/>
      <c r="Q56" s="34" t="s">
        <v>616</v>
      </c>
    </row>
    <row r="57" spans="1:17" ht="12.95" customHeight="1">
      <c r="A57" s="19"/>
      <c r="B57" s="24" t="s">
        <v>395</v>
      </c>
      <c r="C57" s="23" t="s">
        <v>469</v>
      </c>
      <c r="D57" s="24" t="s">
        <v>36</v>
      </c>
      <c r="E57" s="24" t="s">
        <v>613</v>
      </c>
      <c r="F57" s="24" t="s">
        <v>614</v>
      </c>
      <c r="G57" s="25" t="s">
        <v>615</v>
      </c>
      <c r="H57" s="24" t="s">
        <v>255</v>
      </c>
      <c r="I57" s="24">
        <v>2</v>
      </c>
      <c r="J57" s="24" t="s">
        <v>617</v>
      </c>
      <c r="K57" s="23" t="s">
        <v>492</v>
      </c>
      <c r="L57" s="24" t="s">
        <v>476</v>
      </c>
      <c r="M57" s="24" t="s">
        <v>14</v>
      </c>
      <c r="N57" s="381"/>
      <c r="O57" s="24" t="s">
        <v>506</v>
      </c>
      <c r="P57" s="24"/>
      <c r="Q57" s="34" t="s">
        <v>616</v>
      </c>
    </row>
    <row r="58" spans="1:17" ht="12.95" customHeight="1">
      <c r="A58" s="19"/>
      <c r="B58" s="24" t="s">
        <v>395</v>
      </c>
      <c r="C58" s="23" t="s">
        <v>469</v>
      </c>
      <c r="D58" s="24" t="s">
        <v>36</v>
      </c>
      <c r="E58" s="24" t="s">
        <v>613</v>
      </c>
      <c r="F58" s="24" t="s">
        <v>614</v>
      </c>
      <c r="G58" s="25" t="s">
        <v>615</v>
      </c>
      <c r="H58" s="24" t="s">
        <v>51</v>
      </c>
      <c r="I58" s="24">
        <v>2</v>
      </c>
      <c r="J58" s="24" t="s">
        <v>617</v>
      </c>
      <c r="K58" s="23" t="s">
        <v>492</v>
      </c>
      <c r="L58" s="24" t="s">
        <v>476</v>
      </c>
      <c r="M58" s="24" t="s">
        <v>14</v>
      </c>
      <c r="N58" s="381"/>
      <c r="O58" s="24" t="s">
        <v>506</v>
      </c>
      <c r="P58" s="24"/>
      <c r="Q58" s="34" t="s">
        <v>616</v>
      </c>
    </row>
    <row r="59" spans="1:17" ht="12.95" customHeight="1">
      <c r="A59" s="19"/>
      <c r="B59" s="24" t="s">
        <v>395</v>
      </c>
      <c r="C59" s="23" t="s">
        <v>469</v>
      </c>
      <c r="D59" s="24" t="s">
        <v>36</v>
      </c>
      <c r="E59" s="24" t="s">
        <v>613</v>
      </c>
      <c r="F59" s="24" t="s">
        <v>614</v>
      </c>
      <c r="G59" s="25" t="s">
        <v>615</v>
      </c>
      <c r="H59" s="24" t="s">
        <v>330</v>
      </c>
      <c r="I59" s="24">
        <v>2</v>
      </c>
      <c r="J59" s="24" t="s">
        <v>617</v>
      </c>
      <c r="K59" s="23" t="s">
        <v>492</v>
      </c>
      <c r="L59" s="24" t="s">
        <v>476</v>
      </c>
      <c r="M59" s="24" t="s">
        <v>14</v>
      </c>
      <c r="N59" s="382"/>
      <c r="O59" s="24" t="s">
        <v>506</v>
      </c>
      <c r="P59" s="24"/>
      <c r="Q59" s="34" t="s">
        <v>616</v>
      </c>
    </row>
    <row r="60" spans="1:17" ht="12.95" customHeight="1">
      <c r="A60" s="19">
        <v>24</v>
      </c>
      <c r="B60" s="27" t="s">
        <v>396</v>
      </c>
      <c r="C60" s="21" t="s">
        <v>469</v>
      </c>
      <c r="D60" s="27" t="s">
        <v>163</v>
      </c>
      <c r="E60" s="27" t="s">
        <v>618</v>
      </c>
      <c r="F60" s="27" t="s">
        <v>619</v>
      </c>
      <c r="G60" s="108" t="s">
        <v>620</v>
      </c>
      <c r="H60" s="27" t="s">
        <v>255</v>
      </c>
      <c r="I60" s="27">
        <v>2</v>
      </c>
      <c r="J60" s="27" t="s">
        <v>474</v>
      </c>
      <c r="K60" s="21" t="s">
        <v>492</v>
      </c>
      <c r="L60" s="27" t="s">
        <v>476</v>
      </c>
      <c r="M60" s="27" t="s">
        <v>14</v>
      </c>
      <c r="N60" s="383" t="s">
        <v>14</v>
      </c>
      <c r="O60" s="27" t="s">
        <v>477</v>
      </c>
      <c r="P60" s="27"/>
      <c r="Q60" s="35" t="s">
        <v>621</v>
      </c>
    </row>
    <row r="61" spans="1:17" ht="12.95" customHeight="1">
      <c r="A61" s="19"/>
      <c r="B61" s="27" t="s">
        <v>396</v>
      </c>
      <c r="C61" s="21" t="s">
        <v>469</v>
      </c>
      <c r="D61" s="27" t="s">
        <v>163</v>
      </c>
      <c r="E61" s="27" t="s">
        <v>618</v>
      </c>
      <c r="F61" s="27" t="s">
        <v>619</v>
      </c>
      <c r="G61" s="20" t="s">
        <v>620</v>
      </c>
      <c r="H61" s="27" t="s">
        <v>58</v>
      </c>
      <c r="I61" s="27">
        <v>1</v>
      </c>
      <c r="J61" s="27" t="s">
        <v>474</v>
      </c>
      <c r="K61" s="21" t="s">
        <v>492</v>
      </c>
      <c r="L61" s="27" t="s">
        <v>476</v>
      </c>
      <c r="M61" s="27" t="s">
        <v>14</v>
      </c>
      <c r="N61" s="384"/>
      <c r="O61" s="27" t="s">
        <v>477</v>
      </c>
      <c r="P61" s="27"/>
      <c r="Q61" s="35" t="s">
        <v>622</v>
      </c>
    </row>
    <row r="62" spans="1:17" ht="12.95" customHeight="1">
      <c r="A62" s="19"/>
      <c r="B62" s="27" t="s">
        <v>396</v>
      </c>
      <c r="C62" s="21" t="s">
        <v>469</v>
      </c>
      <c r="D62" s="27" t="s">
        <v>163</v>
      </c>
      <c r="E62" s="27" t="s">
        <v>618</v>
      </c>
      <c r="F62" s="27" t="s">
        <v>619</v>
      </c>
      <c r="G62" s="20" t="s">
        <v>620</v>
      </c>
      <c r="H62" s="27" t="s">
        <v>330</v>
      </c>
      <c r="I62" s="27">
        <v>1</v>
      </c>
      <c r="J62" s="27" t="s">
        <v>474</v>
      </c>
      <c r="K62" s="21" t="s">
        <v>492</v>
      </c>
      <c r="L62" s="27" t="s">
        <v>476</v>
      </c>
      <c r="M62" s="27" t="s">
        <v>14</v>
      </c>
      <c r="N62" s="385"/>
      <c r="O62" s="27" t="s">
        <v>477</v>
      </c>
      <c r="P62" s="27"/>
      <c r="Q62" s="35" t="s">
        <v>622</v>
      </c>
    </row>
    <row r="63" spans="1:17" ht="21.75" customHeight="1">
      <c r="A63" s="19">
        <v>25</v>
      </c>
      <c r="B63" s="24" t="s">
        <v>397</v>
      </c>
      <c r="C63" s="23" t="s">
        <v>469</v>
      </c>
      <c r="D63" s="24" t="s">
        <v>165</v>
      </c>
      <c r="E63" s="24" t="s">
        <v>623</v>
      </c>
      <c r="F63" s="24"/>
      <c r="G63" s="123" t="s">
        <v>624</v>
      </c>
      <c r="H63" s="24" t="s">
        <v>153</v>
      </c>
      <c r="I63" s="24">
        <v>1</v>
      </c>
      <c r="J63" s="24" t="s">
        <v>500</v>
      </c>
      <c r="K63" s="23" t="s">
        <v>492</v>
      </c>
      <c r="L63" s="24" t="s">
        <v>476</v>
      </c>
      <c r="M63" s="24" t="s">
        <v>14</v>
      </c>
      <c r="N63" s="24" t="s">
        <v>14</v>
      </c>
      <c r="O63" s="24" t="s">
        <v>477</v>
      </c>
      <c r="P63" s="24"/>
      <c r="Q63" s="26" t="s">
        <v>625</v>
      </c>
    </row>
    <row r="64" spans="1:17" ht="21.75" customHeight="1">
      <c r="A64" s="19">
        <v>26</v>
      </c>
      <c r="B64" s="27" t="s">
        <v>401</v>
      </c>
      <c r="C64" s="21" t="s">
        <v>469</v>
      </c>
      <c r="D64" s="27"/>
      <c r="E64" s="27"/>
      <c r="F64" s="27"/>
      <c r="G64" s="20"/>
      <c r="H64" s="27" t="s">
        <v>255</v>
      </c>
      <c r="I64" s="27">
        <v>1</v>
      </c>
      <c r="J64" s="27" t="s">
        <v>500</v>
      </c>
      <c r="K64" s="21" t="s">
        <v>492</v>
      </c>
      <c r="L64" s="21" t="s">
        <v>72</v>
      </c>
      <c r="M64" s="27" t="s">
        <v>523</v>
      </c>
      <c r="N64" s="27"/>
      <c r="O64" s="27" t="s">
        <v>626</v>
      </c>
      <c r="P64" s="27"/>
      <c r="Q64" s="22" t="s">
        <v>627</v>
      </c>
    </row>
    <row r="65" spans="1:17" ht="24.75" customHeight="1">
      <c r="A65" s="19">
        <v>27</v>
      </c>
      <c r="B65" s="23" t="s">
        <v>402</v>
      </c>
      <c r="C65" s="23" t="s">
        <v>469</v>
      </c>
      <c r="D65" s="24"/>
      <c r="E65" s="24"/>
      <c r="F65" s="24"/>
      <c r="G65" s="25"/>
      <c r="H65" s="24" t="s">
        <v>255</v>
      </c>
      <c r="I65" s="24">
        <v>1</v>
      </c>
      <c r="J65" s="24" t="s">
        <v>474</v>
      </c>
      <c r="K65" s="23" t="s">
        <v>492</v>
      </c>
      <c r="L65" s="24" t="s">
        <v>72</v>
      </c>
      <c r="M65" s="24" t="s">
        <v>523</v>
      </c>
      <c r="N65" s="24"/>
      <c r="O65" s="24" t="s">
        <v>477</v>
      </c>
      <c r="P65" s="24"/>
      <c r="Q65" s="34" t="s">
        <v>628</v>
      </c>
    </row>
    <row r="66" spans="1:17" ht="12.95" customHeight="1">
      <c r="A66" s="19"/>
      <c r="B66" s="27" t="s">
        <v>401</v>
      </c>
      <c r="C66" s="21" t="s">
        <v>469</v>
      </c>
      <c r="D66" s="27"/>
      <c r="E66" s="27"/>
      <c r="F66" s="27"/>
      <c r="G66" s="20"/>
      <c r="H66" s="27" t="s">
        <v>153</v>
      </c>
      <c r="I66" s="27">
        <v>1</v>
      </c>
      <c r="J66" s="27" t="s">
        <v>474</v>
      </c>
      <c r="K66" s="21" t="s">
        <v>492</v>
      </c>
      <c r="L66" s="27" t="s">
        <v>72</v>
      </c>
      <c r="M66" s="27" t="s">
        <v>523</v>
      </c>
      <c r="N66" s="27"/>
      <c r="O66" s="27" t="s">
        <v>477</v>
      </c>
      <c r="P66" s="27"/>
      <c r="Q66" s="35" t="s">
        <v>629</v>
      </c>
    </row>
    <row r="67" spans="1:17" ht="22.5">
      <c r="A67" s="19">
        <v>28</v>
      </c>
      <c r="B67" s="23" t="s">
        <v>403</v>
      </c>
      <c r="C67" s="23" t="s">
        <v>469</v>
      </c>
      <c r="D67" s="24" t="s">
        <v>85</v>
      </c>
      <c r="E67" s="24" t="s">
        <v>630</v>
      </c>
      <c r="F67" s="24"/>
      <c r="G67" s="25"/>
      <c r="H67" s="24" t="s">
        <v>20</v>
      </c>
      <c r="I67" s="24">
        <v>1</v>
      </c>
      <c r="J67" s="24" t="s">
        <v>500</v>
      </c>
      <c r="K67" s="23" t="s">
        <v>492</v>
      </c>
      <c r="L67" s="24" t="s">
        <v>72</v>
      </c>
      <c r="M67" s="24" t="s">
        <v>523</v>
      </c>
      <c r="N67" s="24"/>
      <c r="O67" s="24" t="s">
        <v>477</v>
      </c>
      <c r="P67" s="24"/>
      <c r="Q67" s="26" t="s">
        <v>631</v>
      </c>
    </row>
    <row r="68" spans="1:17" ht="24" customHeight="1">
      <c r="A68" s="19">
        <v>29</v>
      </c>
      <c r="B68" s="27" t="s">
        <v>404</v>
      </c>
      <c r="C68" s="21" t="s">
        <v>469</v>
      </c>
      <c r="D68" s="27" t="s">
        <v>632</v>
      </c>
      <c r="E68" s="27"/>
      <c r="F68" s="27" t="s">
        <v>633</v>
      </c>
      <c r="G68" s="20" t="s">
        <v>634</v>
      </c>
      <c r="H68" s="21" t="s">
        <v>255</v>
      </c>
      <c r="I68" s="21">
        <v>2</v>
      </c>
      <c r="J68" s="21" t="s">
        <v>479</v>
      </c>
      <c r="K68" s="21" t="s">
        <v>492</v>
      </c>
      <c r="L68" s="21" t="s">
        <v>72</v>
      </c>
      <c r="M68" s="21" t="s">
        <v>523</v>
      </c>
      <c r="N68" s="21"/>
      <c r="O68" s="21" t="s">
        <v>477</v>
      </c>
      <c r="P68" s="21"/>
      <c r="Q68" s="35" t="s">
        <v>635</v>
      </c>
    </row>
    <row r="69" spans="1:17" ht="12.95" customHeight="1">
      <c r="A69" s="19"/>
      <c r="B69" s="27" t="s">
        <v>404</v>
      </c>
      <c r="C69" s="21" t="s">
        <v>469</v>
      </c>
      <c r="D69" s="27" t="s">
        <v>632</v>
      </c>
      <c r="E69" s="27"/>
      <c r="F69" s="27" t="s">
        <v>633</v>
      </c>
      <c r="G69" s="20" t="s">
        <v>634</v>
      </c>
      <c r="H69" s="21" t="s">
        <v>330</v>
      </c>
      <c r="I69" s="21">
        <v>1</v>
      </c>
      <c r="J69" s="21" t="s">
        <v>479</v>
      </c>
      <c r="K69" s="21" t="s">
        <v>492</v>
      </c>
      <c r="L69" s="21" t="s">
        <v>72</v>
      </c>
      <c r="M69" s="21" t="s">
        <v>523</v>
      </c>
      <c r="N69" s="21"/>
      <c r="O69" s="21" t="s">
        <v>477</v>
      </c>
      <c r="P69" s="21"/>
      <c r="Q69" s="35" t="s">
        <v>636</v>
      </c>
    </row>
    <row r="70" spans="1:17" ht="12">
      <c r="A70" s="19"/>
      <c r="B70" s="27" t="s">
        <v>404</v>
      </c>
      <c r="C70" s="21" t="s">
        <v>469</v>
      </c>
      <c r="D70" s="27" t="s">
        <v>632</v>
      </c>
      <c r="E70" s="27"/>
      <c r="F70" s="27" t="s">
        <v>633</v>
      </c>
      <c r="G70" s="20" t="s">
        <v>634</v>
      </c>
      <c r="H70" s="21" t="s">
        <v>51</v>
      </c>
      <c r="I70" s="21">
        <v>1</v>
      </c>
      <c r="J70" s="21" t="s">
        <v>479</v>
      </c>
      <c r="K70" s="21" t="s">
        <v>492</v>
      </c>
      <c r="L70" s="21" t="s">
        <v>72</v>
      </c>
      <c r="M70" s="21" t="s">
        <v>523</v>
      </c>
      <c r="N70" s="21"/>
      <c r="O70" s="21" t="s">
        <v>477</v>
      </c>
      <c r="P70" s="21"/>
      <c r="Q70" s="35" t="s">
        <v>636</v>
      </c>
    </row>
    <row r="71" spans="1:17" ht="12.95" customHeight="1">
      <c r="A71" s="19"/>
      <c r="B71" s="27" t="s">
        <v>404</v>
      </c>
      <c r="C71" s="21" t="s">
        <v>469</v>
      </c>
      <c r="D71" s="27" t="s">
        <v>632</v>
      </c>
      <c r="E71" s="27"/>
      <c r="F71" s="27" t="s">
        <v>633</v>
      </c>
      <c r="G71" s="20" t="s">
        <v>634</v>
      </c>
      <c r="H71" s="21" t="s">
        <v>637</v>
      </c>
      <c r="I71" s="21">
        <v>2</v>
      </c>
      <c r="J71" s="21" t="s">
        <v>479</v>
      </c>
      <c r="K71" s="21" t="s">
        <v>492</v>
      </c>
      <c r="L71" s="21" t="s">
        <v>72</v>
      </c>
      <c r="M71" s="21" t="s">
        <v>523</v>
      </c>
      <c r="N71" s="21"/>
      <c r="O71" s="21" t="s">
        <v>477</v>
      </c>
      <c r="P71" s="21"/>
      <c r="Q71" s="35" t="s">
        <v>636</v>
      </c>
    </row>
    <row r="72" spans="1:17" ht="12.95" customHeight="1">
      <c r="A72" s="19"/>
      <c r="B72" s="27" t="s">
        <v>404</v>
      </c>
      <c r="C72" s="21" t="s">
        <v>469</v>
      </c>
      <c r="D72" s="27" t="s">
        <v>632</v>
      </c>
      <c r="E72" s="27"/>
      <c r="F72" s="27" t="s">
        <v>633</v>
      </c>
      <c r="G72" s="20" t="s">
        <v>634</v>
      </c>
      <c r="H72" s="21" t="s">
        <v>111</v>
      </c>
      <c r="I72" s="21">
        <v>1</v>
      </c>
      <c r="J72" s="21" t="s">
        <v>479</v>
      </c>
      <c r="K72" s="21" t="s">
        <v>492</v>
      </c>
      <c r="L72" s="21" t="s">
        <v>72</v>
      </c>
      <c r="M72" s="21" t="s">
        <v>523</v>
      </c>
      <c r="N72" s="21"/>
      <c r="O72" s="21" t="s">
        <v>477</v>
      </c>
      <c r="P72" s="21"/>
      <c r="Q72" s="35" t="s">
        <v>636</v>
      </c>
    </row>
    <row r="73" spans="1:17" ht="22.5" customHeight="1">
      <c r="A73" s="19">
        <v>30</v>
      </c>
      <c r="B73" s="24" t="s">
        <v>109</v>
      </c>
      <c r="C73" s="23" t="s">
        <v>469</v>
      </c>
      <c r="D73" s="24" t="s">
        <v>198</v>
      </c>
      <c r="E73" s="23" t="s">
        <v>638</v>
      </c>
      <c r="F73" s="23" t="s">
        <v>639</v>
      </c>
      <c r="G73" s="123" t="s">
        <v>640</v>
      </c>
      <c r="H73" s="23" t="s">
        <v>111</v>
      </c>
      <c r="I73" s="23">
        <v>1</v>
      </c>
      <c r="J73" s="23" t="s">
        <v>479</v>
      </c>
      <c r="K73" s="23" t="s">
        <v>560</v>
      </c>
      <c r="L73" s="23" t="s">
        <v>476</v>
      </c>
      <c r="M73" s="23" t="s">
        <v>14</v>
      </c>
      <c r="N73" s="23" t="s">
        <v>14</v>
      </c>
      <c r="O73" s="23" t="s">
        <v>477</v>
      </c>
      <c r="P73" s="23"/>
      <c r="Q73" s="26" t="s">
        <v>641</v>
      </c>
    </row>
    <row r="74" spans="1:17" ht="12" customHeight="1">
      <c r="A74" s="19">
        <v>31</v>
      </c>
      <c r="B74" s="27" t="s">
        <v>398</v>
      </c>
      <c r="C74" s="21" t="s">
        <v>469</v>
      </c>
      <c r="D74" s="27" t="s">
        <v>38</v>
      </c>
      <c r="E74" s="21" t="s">
        <v>642</v>
      </c>
      <c r="F74" s="21"/>
      <c r="G74" s="20" t="s">
        <v>643</v>
      </c>
      <c r="H74" s="21" t="s">
        <v>20</v>
      </c>
      <c r="I74" s="21">
        <v>1</v>
      </c>
      <c r="J74" s="21" t="s">
        <v>479</v>
      </c>
      <c r="K74" s="21" t="s">
        <v>530</v>
      </c>
      <c r="L74" s="21" t="s">
        <v>476</v>
      </c>
      <c r="M74" s="21" t="s">
        <v>14</v>
      </c>
      <c r="N74" s="372" t="s">
        <v>14</v>
      </c>
      <c r="O74" s="21" t="s">
        <v>477</v>
      </c>
      <c r="P74" s="21"/>
      <c r="Q74" s="35" t="s">
        <v>644</v>
      </c>
    </row>
    <row r="75" spans="1:17" ht="12.95" customHeight="1">
      <c r="A75" s="19"/>
      <c r="B75" s="27" t="s">
        <v>398</v>
      </c>
      <c r="C75" s="21" t="s">
        <v>469</v>
      </c>
      <c r="D75" s="27" t="s">
        <v>38</v>
      </c>
      <c r="E75" s="21" t="s">
        <v>642</v>
      </c>
      <c r="F75" s="21"/>
      <c r="G75" s="20" t="s">
        <v>645</v>
      </c>
      <c r="H75" s="21" t="s">
        <v>71</v>
      </c>
      <c r="I75" s="21">
        <v>1</v>
      </c>
      <c r="J75" s="21" t="s">
        <v>479</v>
      </c>
      <c r="K75" s="21" t="s">
        <v>530</v>
      </c>
      <c r="L75" s="21" t="s">
        <v>476</v>
      </c>
      <c r="M75" s="21" t="s">
        <v>14</v>
      </c>
      <c r="N75" s="379"/>
      <c r="O75" s="21" t="s">
        <v>477</v>
      </c>
      <c r="P75" s="21"/>
      <c r="Q75" s="35"/>
    </row>
    <row r="76" spans="1:17" ht="12.95" customHeight="1">
      <c r="A76" s="19"/>
      <c r="B76" s="27" t="s">
        <v>398</v>
      </c>
      <c r="C76" s="21" t="s">
        <v>469</v>
      </c>
      <c r="D76" s="27" t="s">
        <v>38</v>
      </c>
      <c r="E76" s="21" t="s">
        <v>642</v>
      </c>
      <c r="F76" s="21"/>
      <c r="G76" s="20" t="s">
        <v>646</v>
      </c>
      <c r="H76" s="21" t="s">
        <v>330</v>
      </c>
      <c r="I76" s="21">
        <v>1</v>
      </c>
      <c r="J76" s="21" t="s">
        <v>479</v>
      </c>
      <c r="K76" s="21" t="s">
        <v>530</v>
      </c>
      <c r="L76" s="21" t="s">
        <v>476</v>
      </c>
      <c r="M76" s="21" t="s">
        <v>14</v>
      </c>
      <c r="N76" s="379"/>
      <c r="O76" s="21" t="s">
        <v>477</v>
      </c>
      <c r="P76" s="21"/>
      <c r="Q76" s="35"/>
    </row>
    <row r="77" spans="1:17" ht="12.95" customHeight="1">
      <c r="A77" s="19"/>
      <c r="B77" s="27" t="s">
        <v>398</v>
      </c>
      <c r="C77" s="21" t="s">
        <v>469</v>
      </c>
      <c r="D77" s="27" t="s">
        <v>38</v>
      </c>
      <c r="E77" s="21" t="s">
        <v>642</v>
      </c>
      <c r="F77" s="21"/>
      <c r="G77" s="20" t="s">
        <v>647</v>
      </c>
      <c r="H77" s="21" t="s">
        <v>39</v>
      </c>
      <c r="I77" s="21">
        <v>1</v>
      </c>
      <c r="J77" s="21" t="s">
        <v>479</v>
      </c>
      <c r="K77" s="21" t="s">
        <v>530</v>
      </c>
      <c r="L77" s="21" t="s">
        <v>476</v>
      </c>
      <c r="M77" s="21" t="s">
        <v>14</v>
      </c>
      <c r="N77" s="379"/>
      <c r="O77" s="21" t="s">
        <v>477</v>
      </c>
      <c r="P77" s="21"/>
      <c r="Q77" s="35"/>
    </row>
    <row r="78" spans="1:17" ht="12.95" customHeight="1">
      <c r="A78" s="19"/>
      <c r="B78" s="27" t="s">
        <v>398</v>
      </c>
      <c r="C78" s="21" t="s">
        <v>469</v>
      </c>
      <c r="D78" s="27" t="s">
        <v>38</v>
      </c>
      <c r="E78" s="21" t="s">
        <v>642</v>
      </c>
      <c r="F78" s="21"/>
      <c r="G78" s="20" t="s">
        <v>648</v>
      </c>
      <c r="H78" s="21" t="s">
        <v>649</v>
      </c>
      <c r="I78" s="21">
        <v>2</v>
      </c>
      <c r="J78" s="21" t="s">
        <v>479</v>
      </c>
      <c r="K78" s="21" t="s">
        <v>530</v>
      </c>
      <c r="L78" s="21" t="s">
        <v>476</v>
      </c>
      <c r="M78" s="21" t="s">
        <v>14</v>
      </c>
      <c r="N78" s="379"/>
      <c r="O78" s="21" t="s">
        <v>477</v>
      </c>
      <c r="P78" s="21"/>
      <c r="Q78" s="35"/>
    </row>
    <row r="79" spans="1:17" ht="12.95" customHeight="1">
      <c r="A79" s="19"/>
      <c r="B79" s="27" t="s">
        <v>398</v>
      </c>
      <c r="C79" s="21" t="s">
        <v>469</v>
      </c>
      <c r="D79" s="27" t="s">
        <v>38</v>
      </c>
      <c r="E79" s="21" t="s">
        <v>642</v>
      </c>
      <c r="F79" s="21"/>
      <c r="G79" s="20" t="s">
        <v>650</v>
      </c>
      <c r="H79" s="21" t="s">
        <v>255</v>
      </c>
      <c r="I79" s="21">
        <v>2</v>
      </c>
      <c r="J79" s="21" t="s">
        <v>479</v>
      </c>
      <c r="K79" s="21" t="s">
        <v>530</v>
      </c>
      <c r="L79" s="21" t="s">
        <v>476</v>
      </c>
      <c r="M79" s="21" t="s">
        <v>14</v>
      </c>
      <c r="N79" s="379"/>
      <c r="O79" s="21" t="s">
        <v>477</v>
      </c>
      <c r="P79" s="21"/>
      <c r="Q79" s="35"/>
    </row>
    <row r="80" spans="1:17" ht="12" customHeight="1">
      <c r="A80" s="19"/>
      <c r="B80" s="27" t="s">
        <v>398</v>
      </c>
      <c r="C80" s="21" t="s">
        <v>469</v>
      </c>
      <c r="D80" s="27" t="s">
        <v>38</v>
      </c>
      <c r="E80" s="21" t="s">
        <v>642</v>
      </c>
      <c r="F80" s="21"/>
      <c r="G80" s="20" t="s">
        <v>651</v>
      </c>
      <c r="H80" s="21" t="s">
        <v>153</v>
      </c>
      <c r="I80" s="21">
        <v>1</v>
      </c>
      <c r="J80" s="21" t="s">
        <v>500</v>
      </c>
      <c r="K80" s="21" t="s">
        <v>530</v>
      </c>
      <c r="L80" s="21" t="s">
        <v>476</v>
      </c>
      <c r="M80" s="21" t="s">
        <v>14</v>
      </c>
      <c r="N80" s="379"/>
      <c r="O80" s="21" t="s">
        <v>477</v>
      </c>
      <c r="P80" s="21"/>
      <c r="Q80" s="35"/>
    </row>
    <row r="81" spans="1:17" ht="12">
      <c r="A81" s="19"/>
      <c r="B81" s="27" t="s">
        <v>398</v>
      </c>
      <c r="C81" s="21" t="s">
        <v>469</v>
      </c>
      <c r="D81" s="27" t="s">
        <v>38</v>
      </c>
      <c r="E81" s="21" t="s">
        <v>642</v>
      </c>
      <c r="F81" s="21"/>
      <c r="G81" s="20" t="s">
        <v>652</v>
      </c>
      <c r="H81" s="21" t="s">
        <v>58</v>
      </c>
      <c r="I81" s="21">
        <v>1</v>
      </c>
      <c r="J81" s="21" t="s">
        <v>500</v>
      </c>
      <c r="K81" s="21" t="s">
        <v>530</v>
      </c>
      <c r="L81" s="21" t="s">
        <v>476</v>
      </c>
      <c r="M81" s="21" t="s">
        <v>14</v>
      </c>
      <c r="N81" s="373"/>
      <c r="O81" s="21" t="s">
        <v>477</v>
      </c>
      <c r="P81" s="21"/>
      <c r="Q81" s="35"/>
    </row>
    <row r="82" spans="1:17" ht="12" customHeight="1">
      <c r="A82" s="19">
        <v>32</v>
      </c>
      <c r="B82" s="24" t="s">
        <v>49</v>
      </c>
      <c r="C82" s="23" t="s">
        <v>469</v>
      </c>
      <c r="D82" s="24" t="s">
        <v>289</v>
      </c>
      <c r="E82" s="23" t="s">
        <v>653</v>
      </c>
      <c r="F82" s="23" t="s">
        <v>654</v>
      </c>
      <c r="G82" s="28" t="s">
        <v>655</v>
      </c>
      <c r="H82" s="23" t="s">
        <v>39</v>
      </c>
      <c r="I82" s="23">
        <v>1</v>
      </c>
      <c r="J82" s="23" t="s">
        <v>479</v>
      </c>
      <c r="K82" s="23" t="s">
        <v>492</v>
      </c>
      <c r="L82" s="23" t="s">
        <v>537</v>
      </c>
      <c r="M82" s="23" t="s">
        <v>14</v>
      </c>
      <c r="N82" s="23"/>
      <c r="O82" s="23" t="s">
        <v>477</v>
      </c>
      <c r="P82" s="23"/>
      <c r="Q82" s="34" t="s">
        <v>656</v>
      </c>
    </row>
    <row r="83" spans="1:17" ht="24">
      <c r="A83" s="19"/>
      <c r="B83" s="24" t="s">
        <v>49</v>
      </c>
      <c r="C83" s="23" t="s">
        <v>469</v>
      </c>
      <c r="D83" s="24" t="s">
        <v>289</v>
      </c>
      <c r="E83" s="23" t="s">
        <v>653</v>
      </c>
      <c r="F83" s="23" t="s">
        <v>654</v>
      </c>
      <c r="G83" s="28" t="s">
        <v>655</v>
      </c>
      <c r="H83" s="23" t="s">
        <v>580</v>
      </c>
      <c r="I83" s="23">
        <v>1</v>
      </c>
      <c r="J83" s="23" t="s">
        <v>479</v>
      </c>
      <c r="K83" s="23" t="s">
        <v>492</v>
      </c>
      <c r="L83" s="23" t="s">
        <v>537</v>
      </c>
      <c r="M83" s="23" t="s">
        <v>14</v>
      </c>
      <c r="N83" s="23"/>
      <c r="O83" s="23" t="s">
        <v>477</v>
      </c>
      <c r="P83" s="23"/>
      <c r="Q83" s="34" t="s">
        <v>657</v>
      </c>
    </row>
    <row r="84" spans="1:17" ht="12.95" customHeight="1">
      <c r="A84" s="19"/>
      <c r="B84" s="24" t="s">
        <v>49</v>
      </c>
      <c r="C84" s="23" t="s">
        <v>469</v>
      </c>
      <c r="D84" s="24" t="s">
        <v>289</v>
      </c>
      <c r="E84" s="23" t="s">
        <v>653</v>
      </c>
      <c r="F84" s="23" t="s">
        <v>654</v>
      </c>
      <c r="G84" s="28" t="s">
        <v>655</v>
      </c>
      <c r="H84" s="23" t="s">
        <v>255</v>
      </c>
      <c r="I84" s="23">
        <v>6</v>
      </c>
      <c r="J84" s="23" t="s">
        <v>521</v>
      </c>
      <c r="K84" s="23" t="s">
        <v>492</v>
      </c>
      <c r="L84" s="23" t="s">
        <v>537</v>
      </c>
      <c r="M84" s="23" t="s">
        <v>14</v>
      </c>
      <c r="N84" s="23"/>
      <c r="O84" s="23" t="s">
        <v>477</v>
      </c>
      <c r="P84" s="23"/>
      <c r="Q84" s="34" t="s">
        <v>657</v>
      </c>
    </row>
    <row r="85" spans="1:17" ht="12.95" customHeight="1">
      <c r="A85" s="19"/>
      <c r="B85" s="24" t="s">
        <v>49</v>
      </c>
      <c r="C85" s="23" t="s">
        <v>469</v>
      </c>
      <c r="D85" s="24" t="s">
        <v>289</v>
      </c>
      <c r="E85" s="23" t="s">
        <v>653</v>
      </c>
      <c r="F85" s="23" t="s">
        <v>654</v>
      </c>
      <c r="G85" s="28" t="s">
        <v>655</v>
      </c>
      <c r="H85" s="23" t="s">
        <v>637</v>
      </c>
      <c r="I85" s="23">
        <v>5</v>
      </c>
      <c r="J85" s="23" t="s">
        <v>521</v>
      </c>
      <c r="K85" s="23" t="s">
        <v>492</v>
      </c>
      <c r="L85" s="23" t="s">
        <v>537</v>
      </c>
      <c r="M85" s="23" t="s">
        <v>14</v>
      </c>
      <c r="N85" s="23"/>
      <c r="O85" s="23" t="s">
        <v>477</v>
      </c>
      <c r="P85" s="23"/>
      <c r="Q85" s="34" t="s">
        <v>658</v>
      </c>
    </row>
    <row r="86" spans="1:17" ht="12.95" customHeight="1">
      <c r="A86" s="19"/>
      <c r="B86" s="24" t="s">
        <v>49</v>
      </c>
      <c r="C86" s="23" t="s">
        <v>469</v>
      </c>
      <c r="D86" s="24" t="s">
        <v>289</v>
      </c>
      <c r="E86" s="23" t="s">
        <v>653</v>
      </c>
      <c r="F86" s="23" t="s">
        <v>654</v>
      </c>
      <c r="G86" s="28" t="s">
        <v>655</v>
      </c>
      <c r="H86" s="23" t="s">
        <v>330</v>
      </c>
      <c r="I86" s="23">
        <v>5</v>
      </c>
      <c r="J86" s="23" t="s">
        <v>659</v>
      </c>
      <c r="K86" s="23" t="s">
        <v>492</v>
      </c>
      <c r="L86" s="23" t="s">
        <v>537</v>
      </c>
      <c r="M86" s="23" t="s">
        <v>14</v>
      </c>
      <c r="N86" s="23"/>
      <c r="O86" s="23" t="s">
        <v>477</v>
      </c>
      <c r="P86" s="23"/>
      <c r="Q86" s="34" t="s">
        <v>657</v>
      </c>
    </row>
    <row r="87" spans="1:17" ht="24">
      <c r="A87" s="19"/>
      <c r="B87" s="24" t="s">
        <v>49</v>
      </c>
      <c r="C87" s="23" t="s">
        <v>469</v>
      </c>
      <c r="D87" s="24" t="s">
        <v>289</v>
      </c>
      <c r="E87" s="23" t="s">
        <v>653</v>
      </c>
      <c r="F87" s="23" t="s">
        <v>654</v>
      </c>
      <c r="G87" s="28" t="s">
        <v>655</v>
      </c>
      <c r="H87" s="23" t="s">
        <v>51</v>
      </c>
      <c r="I87" s="23">
        <v>4</v>
      </c>
      <c r="J87" s="23" t="s">
        <v>660</v>
      </c>
      <c r="K87" s="23" t="s">
        <v>492</v>
      </c>
      <c r="L87" s="23" t="s">
        <v>537</v>
      </c>
      <c r="M87" s="23" t="s">
        <v>14</v>
      </c>
      <c r="N87" s="23"/>
      <c r="O87" s="23" t="s">
        <v>477</v>
      </c>
      <c r="P87" s="23"/>
      <c r="Q87" s="34" t="s">
        <v>657</v>
      </c>
    </row>
    <row r="88" spans="1:17" ht="24">
      <c r="A88" s="19"/>
      <c r="B88" s="24" t="s">
        <v>49</v>
      </c>
      <c r="C88" s="23" t="s">
        <v>469</v>
      </c>
      <c r="D88" s="24" t="s">
        <v>289</v>
      </c>
      <c r="E88" s="23" t="s">
        <v>653</v>
      </c>
      <c r="F88" s="23" t="s">
        <v>654</v>
      </c>
      <c r="G88" s="28" t="s">
        <v>655</v>
      </c>
      <c r="H88" s="23" t="s">
        <v>661</v>
      </c>
      <c r="I88" s="23">
        <v>9</v>
      </c>
      <c r="J88" s="23" t="s">
        <v>660</v>
      </c>
      <c r="K88" s="23" t="s">
        <v>662</v>
      </c>
      <c r="L88" s="23" t="s">
        <v>537</v>
      </c>
      <c r="M88" s="23" t="s">
        <v>14</v>
      </c>
      <c r="N88" s="23"/>
      <c r="O88" s="23" t="s">
        <v>477</v>
      </c>
      <c r="P88" s="23"/>
      <c r="Q88" s="34" t="s">
        <v>657</v>
      </c>
    </row>
    <row r="89" spans="1:17" ht="12.95" customHeight="1">
      <c r="A89" s="19"/>
      <c r="B89" s="24" t="s">
        <v>49</v>
      </c>
      <c r="C89" s="23" t="s">
        <v>469</v>
      </c>
      <c r="D89" s="24" t="s">
        <v>289</v>
      </c>
      <c r="E89" s="23" t="s">
        <v>653</v>
      </c>
      <c r="F89" s="23" t="s">
        <v>654</v>
      </c>
      <c r="G89" s="28" t="s">
        <v>655</v>
      </c>
      <c r="H89" s="23" t="s">
        <v>598</v>
      </c>
      <c r="I89" s="23">
        <v>1</v>
      </c>
      <c r="J89" s="23" t="s">
        <v>585</v>
      </c>
      <c r="K89" s="23" t="s">
        <v>662</v>
      </c>
      <c r="L89" s="23" t="s">
        <v>537</v>
      </c>
      <c r="M89" s="23" t="s">
        <v>523</v>
      </c>
      <c r="N89" s="23"/>
      <c r="O89" s="23" t="s">
        <v>477</v>
      </c>
      <c r="P89" s="23"/>
      <c r="Q89" s="34" t="s">
        <v>663</v>
      </c>
    </row>
    <row r="90" spans="1:17" ht="12.95" customHeight="1">
      <c r="A90" s="19"/>
      <c r="B90" s="24" t="s">
        <v>49</v>
      </c>
      <c r="C90" s="23" t="s">
        <v>469</v>
      </c>
      <c r="D90" s="24" t="s">
        <v>289</v>
      </c>
      <c r="E90" s="23" t="s">
        <v>653</v>
      </c>
      <c r="F90" s="23" t="s">
        <v>654</v>
      </c>
      <c r="G90" s="28" t="s">
        <v>655</v>
      </c>
      <c r="H90" s="23" t="s">
        <v>12</v>
      </c>
      <c r="I90" s="23">
        <v>1</v>
      </c>
      <c r="J90" s="23" t="s">
        <v>500</v>
      </c>
      <c r="K90" s="23" t="s">
        <v>662</v>
      </c>
      <c r="L90" s="23" t="s">
        <v>537</v>
      </c>
      <c r="M90" s="23" t="s">
        <v>523</v>
      </c>
      <c r="N90" s="23"/>
      <c r="O90" s="23" t="s">
        <v>477</v>
      </c>
      <c r="P90" s="23"/>
      <c r="Q90" s="34" t="s">
        <v>663</v>
      </c>
    </row>
    <row r="91" spans="1:17" ht="12.95" customHeight="1">
      <c r="A91" s="19"/>
      <c r="B91" s="24" t="s">
        <v>49</v>
      </c>
      <c r="C91" s="23" t="s">
        <v>469</v>
      </c>
      <c r="D91" s="24" t="s">
        <v>289</v>
      </c>
      <c r="E91" s="23" t="s">
        <v>653</v>
      </c>
      <c r="F91" s="23" t="s">
        <v>654</v>
      </c>
      <c r="G91" s="28" t="s">
        <v>655</v>
      </c>
      <c r="H91" s="23" t="s">
        <v>664</v>
      </c>
      <c r="I91" s="23">
        <v>1</v>
      </c>
      <c r="J91" s="23" t="s">
        <v>665</v>
      </c>
      <c r="K91" s="23" t="s">
        <v>662</v>
      </c>
      <c r="L91" s="23" t="s">
        <v>537</v>
      </c>
      <c r="M91" s="23" t="s">
        <v>523</v>
      </c>
      <c r="N91" s="23"/>
      <c r="O91" s="23" t="s">
        <v>477</v>
      </c>
      <c r="P91" s="23"/>
      <c r="Q91" s="34" t="s">
        <v>666</v>
      </c>
    </row>
    <row r="92" spans="1:17" ht="24" customHeight="1">
      <c r="A92" s="19">
        <v>33</v>
      </c>
      <c r="B92" s="27" t="s">
        <v>405</v>
      </c>
      <c r="C92" s="21" t="s">
        <v>469</v>
      </c>
      <c r="D92" s="21" t="s">
        <v>667</v>
      </c>
      <c r="E92" s="21"/>
      <c r="F92" s="21" t="s">
        <v>668</v>
      </c>
      <c r="G92" s="30"/>
      <c r="H92" s="27" t="s">
        <v>153</v>
      </c>
      <c r="I92" s="27">
        <v>1</v>
      </c>
      <c r="J92" s="27"/>
      <c r="K92" s="21" t="s">
        <v>492</v>
      </c>
      <c r="L92" s="27" t="s">
        <v>72</v>
      </c>
      <c r="M92" s="27" t="s">
        <v>523</v>
      </c>
      <c r="N92" s="27"/>
      <c r="O92" s="27" t="s">
        <v>477</v>
      </c>
      <c r="P92" s="27"/>
      <c r="Q92" s="35" t="s">
        <v>669</v>
      </c>
    </row>
    <row r="93" spans="1:17" ht="12.95" customHeight="1">
      <c r="A93" s="19"/>
      <c r="B93" s="27" t="s">
        <v>405</v>
      </c>
      <c r="C93" s="21" t="s">
        <v>469</v>
      </c>
      <c r="D93" s="21" t="s">
        <v>667</v>
      </c>
      <c r="E93" s="21"/>
      <c r="F93" s="21" t="s">
        <v>668</v>
      </c>
      <c r="G93" s="30"/>
      <c r="H93" s="27" t="s">
        <v>255</v>
      </c>
      <c r="I93" s="27">
        <v>3</v>
      </c>
      <c r="J93" s="27"/>
      <c r="K93" s="21" t="s">
        <v>492</v>
      </c>
      <c r="L93" s="27" t="s">
        <v>539</v>
      </c>
      <c r="M93" s="27" t="s">
        <v>53</v>
      </c>
      <c r="N93" s="27"/>
      <c r="O93" s="27" t="s">
        <v>477</v>
      </c>
      <c r="P93" s="27"/>
      <c r="Q93" s="35" t="s">
        <v>670</v>
      </c>
    </row>
    <row r="94" spans="1:17" ht="12.95" customHeight="1">
      <c r="A94" s="19"/>
      <c r="B94" s="27" t="s">
        <v>405</v>
      </c>
      <c r="C94" s="21" t="s">
        <v>469</v>
      </c>
      <c r="D94" s="21" t="s">
        <v>667</v>
      </c>
      <c r="E94" s="21"/>
      <c r="F94" s="21" t="s">
        <v>668</v>
      </c>
      <c r="G94" s="30"/>
      <c r="H94" s="27" t="s">
        <v>111</v>
      </c>
      <c r="I94" s="27">
        <v>1</v>
      </c>
      <c r="J94" s="27"/>
      <c r="K94" s="21" t="s">
        <v>492</v>
      </c>
      <c r="L94" s="27" t="s">
        <v>72</v>
      </c>
      <c r="M94" s="27" t="s">
        <v>523</v>
      </c>
      <c r="N94" s="27"/>
      <c r="O94" s="27" t="s">
        <v>477</v>
      </c>
      <c r="P94" s="27"/>
      <c r="Q94" s="35"/>
    </row>
    <row r="95" spans="1:17" ht="12.95" customHeight="1">
      <c r="A95" s="19"/>
      <c r="B95" s="27" t="s">
        <v>405</v>
      </c>
      <c r="C95" s="21" t="s">
        <v>469</v>
      </c>
      <c r="D95" s="21" t="s">
        <v>667</v>
      </c>
      <c r="E95" s="21"/>
      <c r="F95" s="21" t="s">
        <v>668</v>
      </c>
      <c r="G95" s="30"/>
      <c r="H95" s="27" t="s">
        <v>637</v>
      </c>
      <c r="I95" s="27">
        <v>4</v>
      </c>
      <c r="J95" s="27"/>
      <c r="K95" s="21" t="s">
        <v>492</v>
      </c>
      <c r="L95" s="27" t="s">
        <v>539</v>
      </c>
      <c r="M95" s="27" t="s">
        <v>53</v>
      </c>
      <c r="N95" s="27"/>
      <c r="O95" s="27" t="s">
        <v>477</v>
      </c>
      <c r="P95" s="27"/>
      <c r="Q95" s="35" t="s">
        <v>671</v>
      </c>
    </row>
    <row r="96" spans="1:17" ht="12.95" customHeight="1">
      <c r="A96" s="19"/>
      <c r="B96" s="27" t="s">
        <v>405</v>
      </c>
      <c r="C96" s="21" t="s">
        <v>469</v>
      </c>
      <c r="D96" s="21" t="s">
        <v>667</v>
      </c>
      <c r="E96" s="21"/>
      <c r="F96" s="21" t="s">
        <v>668</v>
      </c>
      <c r="G96" s="30"/>
      <c r="H96" s="27" t="s">
        <v>25</v>
      </c>
      <c r="I96" s="27">
        <v>1</v>
      </c>
      <c r="J96" s="27"/>
      <c r="K96" s="21" t="s">
        <v>522</v>
      </c>
      <c r="L96" s="27" t="s">
        <v>72</v>
      </c>
      <c r="M96" s="27" t="s">
        <v>523</v>
      </c>
      <c r="N96" s="27"/>
      <c r="O96" s="27" t="s">
        <v>477</v>
      </c>
      <c r="P96" s="27"/>
      <c r="Q96" s="35" t="s">
        <v>672</v>
      </c>
    </row>
    <row r="97" spans="1:17" ht="12.95" customHeight="1">
      <c r="A97" s="19"/>
      <c r="B97" s="27" t="s">
        <v>405</v>
      </c>
      <c r="C97" s="21" t="s">
        <v>469</v>
      </c>
      <c r="D97" s="21" t="s">
        <v>667</v>
      </c>
      <c r="E97" s="21"/>
      <c r="F97" s="21" t="s">
        <v>668</v>
      </c>
      <c r="G97" s="30"/>
      <c r="H97" s="27" t="s">
        <v>189</v>
      </c>
      <c r="I97" s="27">
        <v>1</v>
      </c>
      <c r="J97" s="27"/>
      <c r="K97" s="21" t="s">
        <v>530</v>
      </c>
      <c r="L97" s="27" t="s">
        <v>72</v>
      </c>
      <c r="M97" s="27" t="s">
        <v>523</v>
      </c>
      <c r="N97" s="27"/>
      <c r="O97" s="27" t="s">
        <v>477</v>
      </c>
      <c r="P97" s="27"/>
      <c r="Q97" s="35"/>
    </row>
    <row r="98" spans="1:17" ht="12.95" customHeight="1">
      <c r="A98" s="19"/>
      <c r="B98" s="27" t="s">
        <v>405</v>
      </c>
      <c r="C98" s="21" t="s">
        <v>469</v>
      </c>
      <c r="D98" s="21" t="s">
        <v>667</v>
      </c>
      <c r="E98" s="21"/>
      <c r="F98" s="21" t="s">
        <v>668</v>
      </c>
      <c r="G98" s="30"/>
      <c r="H98" s="27" t="s">
        <v>673</v>
      </c>
      <c r="I98" s="27">
        <v>1</v>
      </c>
      <c r="J98" s="27"/>
      <c r="K98" s="21" t="s">
        <v>492</v>
      </c>
      <c r="L98" s="27" t="s">
        <v>72</v>
      </c>
      <c r="M98" s="27" t="s">
        <v>53</v>
      </c>
      <c r="N98" s="27"/>
      <c r="O98" s="27" t="s">
        <v>477</v>
      </c>
      <c r="P98" s="27"/>
      <c r="Q98" s="35"/>
    </row>
    <row r="99" spans="1:17" ht="12.95" customHeight="1">
      <c r="A99" s="19"/>
      <c r="B99" s="27" t="s">
        <v>405</v>
      </c>
      <c r="C99" s="21" t="s">
        <v>469</v>
      </c>
      <c r="D99" s="21" t="s">
        <v>667</v>
      </c>
      <c r="E99" s="21"/>
      <c r="F99" s="21" t="s">
        <v>668</v>
      </c>
      <c r="G99" s="30"/>
      <c r="H99" s="27" t="s">
        <v>674</v>
      </c>
      <c r="I99" s="27">
        <v>5</v>
      </c>
      <c r="J99" s="27"/>
      <c r="K99" s="21" t="s">
        <v>581</v>
      </c>
      <c r="L99" s="27" t="s">
        <v>539</v>
      </c>
      <c r="M99" s="27" t="s">
        <v>53</v>
      </c>
      <c r="N99" s="27"/>
      <c r="O99" s="27" t="s">
        <v>477</v>
      </c>
      <c r="P99" s="27"/>
      <c r="Q99" s="35" t="s">
        <v>675</v>
      </c>
    </row>
    <row r="100" spans="1:17" ht="12.95" customHeight="1">
      <c r="A100" s="19"/>
      <c r="B100" s="27" t="s">
        <v>405</v>
      </c>
      <c r="C100" s="21" t="s">
        <v>469</v>
      </c>
      <c r="D100" s="21" t="s">
        <v>667</v>
      </c>
      <c r="E100" s="21"/>
      <c r="F100" s="21" t="s">
        <v>668</v>
      </c>
      <c r="G100" s="30"/>
      <c r="H100" s="27" t="s">
        <v>676</v>
      </c>
      <c r="I100" s="27">
        <v>3</v>
      </c>
      <c r="J100" s="27"/>
      <c r="K100" s="21" t="s">
        <v>581</v>
      </c>
      <c r="L100" s="27" t="s">
        <v>539</v>
      </c>
      <c r="M100" s="27" t="s">
        <v>53</v>
      </c>
      <c r="N100" s="27"/>
      <c r="O100" s="27" t="s">
        <v>477</v>
      </c>
      <c r="P100" s="27"/>
      <c r="Q100" s="35" t="s">
        <v>675</v>
      </c>
    </row>
    <row r="101" spans="1:17" ht="12.95" customHeight="1">
      <c r="A101" s="19"/>
      <c r="B101" s="27" t="s">
        <v>405</v>
      </c>
      <c r="C101" s="21" t="s">
        <v>469</v>
      </c>
      <c r="D101" s="21" t="s">
        <v>667</v>
      </c>
      <c r="E101" s="21"/>
      <c r="F101" s="21" t="s">
        <v>668</v>
      </c>
      <c r="G101" s="30"/>
      <c r="H101" s="27" t="s">
        <v>664</v>
      </c>
      <c r="I101" s="27">
        <v>1</v>
      </c>
      <c r="J101" s="27"/>
      <c r="K101" s="21" t="s">
        <v>522</v>
      </c>
      <c r="L101" s="27" t="s">
        <v>72</v>
      </c>
      <c r="M101" s="27" t="s">
        <v>523</v>
      </c>
      <c r="N101" s="27"/>
      <c r="O101" s="27" t="s">
        <v>477</v>
      </c>
      <c r="P101" s="27"/>
      <c r="Q101" s="35" t="s">
        <v>672</v>
      </c>
    </row>
    <row r="102" spans="1:17" ht="28.5" customHeight="1">
      <c r="A102" s="19">
        <v>34</v>
      </c>
      <c r="B102" s="24" t="s">
        <v>406</v>
      </c>
      <c r="C102" s="23" t="s">
        <v>469</v>
      </c>
      <c r="D102" s="24" t="s">
        <v>677</v>
      </c>
      <c r="E102" s="23" t="s">
        <v>678</v>
      </c>
      <c r="F102" s="23" t="s">
        <v>679</v>
      </c>
      <c r="G102" s="25" t="s">
        <v>680</v>
      </c>
      <c r="H102" s="24" t="s">
        <v>681</v>
      </c>
      <c r="I102" s="24">
        <v>1</v>
      </c>
      <c r="J102" s="24"/>
      <c r="K102" s="24" t="s">
        <v>505</v>
      </c>
      <c r="L102" s="24" t="s">
        <v>72</v>
      </c>
      <c r="M102" s="24" t="s">
        <v>523</v>
      </c>
      <c r="N102" s="24"/>
      <c r="O102" s="24" t="s">
        <v>477</v>
      </c>
      <c r="P102" s="24"/>
      <c r="Q102" s="34" t="s">
        <v>682</v>
      </c>
    </row>
    <row r="103" spans="1:17" ht="12.95" customHeight="1">
      <c r="A103" s="19"/>
      <c r="B103" s="24" t="s">
        <v>406</v>
      </c>
      <c r="C103" s="23" t="s">
        <v>469</v>
      </c>
      <c r="D103" s="24" t="s">
        <v>677</v>
      </c>
      <c r="E103" s="23" t="s">
        <v>678</v>
      </c>
      <c r="F103" s="23" t="s">
        <v>679</v>
      </c>
      <c r="G103" s="25" t="s">
        <v>680</v>
      </c>
      <c r="H103" s="24" t="s">
        <v>637</v>
      </c>
      <c r="I103" s="24">
        <v>1</v>
      </c>
      <c r="J103" s="24"/>
      <c r="K103" s="24" t="s">
        <v>505</v>
      </c>
      <c r="L103" s="24" t="s">
        <v>72</v>
      </c>
      <c r="M103" s="24" t="s">
        <v>523</v>
      </c>
      <c r="N103" s="24"/>
      <c r="O103" s="24" t="s">
        <v>477</v>
      </c>
      <c r="P103" s="24"/>
      <c r="Q103" s="34"/>
    </row>
    <row r="104" spans="1:17" ht="12.95" customHeight="1">
      <c r="A104" s="19"/>
      <c r="B104" s="24" t="s">
        <v>406</v>
      </c>
      <c r="C104" s="23" t="s">
        <v>469</v>
      </c>
      <c r="D104" s="24" t="s">
        <v>677</v>
      </c>
      <c r="E104" s="23" t="s">
        <v>678</v>
      </c>
      <c r="F104" s="23" t="s">
        <v>679</v>
      </c>
      <c r="G104" s="25" t="s">
        <v>680</v>
      </c>
      <c r="H104" s="24" t="s">
        <v>588</v>
      </c>
      <c r="I104" s="24">
        <v>1</v>
      </c>
      <c r="J104" s="24"/>
      <c r="K104" s="24" t="s">
        <v>530</v>
      </c>
      <c r="L104" s="24" t="s">
        <v>72</v>
      </c>
      <c r="M104" s="24" t="s">
        <v>523</v>
      </c>
      <c r="N104" s="24"/>
      <c r="O104" s="24" t="s">
        <v>477</v>
      </c>
      <c r="P104" s="24"/>
      <c r="Q104" s="34"/>
    </row>
    <row r="105" spans="1:17" ht="24.75" customHeight="1">
      <c r="A105" s="19">
        <v>35</v>
      </c>
      <c r="B105" s="27" t="s">
        <v>407</v>
      </c>
      <c r="C105" s="21" t="s">
        <v>469</v>
      </c>
      <c r="D105" s="27" t="s">
        <v>683</v>
      </c>
      <c r="E105" s="27"/>
      <c r="F105" s="27" t="s">
        <v>684</v>
      </c>
      <c r="G105" s="20"/>
      <c r="H105" s="27" t="s">
        <v>685</v>
      </c>
      <c r="I105" s="27">
        <v>1</v>
      </c>
      <c r="J105" s="27"/>
      <c r="K105" s="21" t="s">
        <v>530</v>
      </c>
      <c r="L105" s="27" t="s">
        <v>72</v>
      </c>
      <c r="M105" s="27" t="s">
        <v>523</v>
      </c>
      <c r="N105" s="27"/>
      <c r="O105" s="27" t="s">
        <v>531</v>
      </c>
      <c r="P105" s="27"/>
      <c r="Q105" s="22" t="s">
        <v>686</v>
      </c>
    </row>
    <row r="106" spans="1:17" ht="24.75" customHeight="1">
      <c r="A106" s="19">
        <v>36</v>
      </c>
      <c r="B106" s="24" t="s">
        <v>408</v>
      </c>
      <c r="C106" s="23" t="s">
        <v>469</v>
      </c>
      <c r="D106" s="24" t="s">
        <v>687</v>
      </c>
      <c r="E106" s="23" t="s">
        <v>688</v>
      </c>
      <c r="F106" s="23" t="s">
        <v>689</v>
      </c>
      <c r="G106" s="28"/>
      <c r="H106" s="24" t="s">
        <v>685</v>
      </c>
      <c r="I106" s="24">
        <v>1</v>
      </c>
      <c r="J106" s="24"/>
      <c r="K106" s="23" t="s">
        <v>530</v>
      </c>
      <c r="L106" s="24" t="s">
        <v>72</v>
      </c>
      <c r="M106" s="24" t="s">
        <v>523</v>
      </c>
      <c r="N106" s="24"/>
      <c r="O106" s="24" t="s">
        <v>531</v>
      </c>
      <c r="P106" s="24"/>
      <c r="Q106" s="26" t="s">
        <v>686</v>
      </c>
    </row>
    <row r="107" spans="1:17" ht="12.95" customHeight="1">
      <c r="A107" s="19">
        <v>37</v>
      </c>
      <c r="B107" s="27" t="s">
        <v>409</v>
      </c>
      <c r="C107" s="21" t="s">
        <v>469</v>
      </c>
      <c r="D107" s="27" t="s">
        <v>690</v>
      </c>
      <c r="E107" s="21" t="s">
        <v>691</v>
      </c>
      <c r="F107" s="21" t="s">
        <v>692</v>
      </c>
      <c r="G107" s="30"/>
      <c r="H107" s="27" t="s">
        <v>693</v>
      </c>
      <c r="I107" s="27">
        <v>1</v>
      </c>
      <c r="J107" s="27" t="s">
        <v>479</v>
      </c>
      <c r="K107" s="21" t="s">
        <v>492</v>
      </c>
      <c r="L107" s="27" t="s">
        <v>72</v>
      </c>
      <c r="M107" s="27" t="s">
        <v>523</v>
      </c>
      <c r="N107" s="27"/>
      <c r="O107" s="27" t="s">
        <v>531</v>
      </c>
      <c r="P107" s="27"/>
      <c r="Q107" s="35" t="s">
        <v>694</v>
      </c>
    </row>
    <row r="108" spans="1:17" ht="12.95" customHeight="1">
      <c r="A108" s="19"/>
      <c r="B108" s="27" t="s">
        <v>409</v>
      </c>
      <c r="C108" s="21" t="s">
        <v>469</v>
      </c>
      <c r="D108" s="27" t="s">
        <v>690</v>
      </c>
      <c r="E108" s="21" t="s">
        <v>691</v>
      </c>
      <c r="F108" s="21" t="s">
        <v>692</v>
      </c>
      <c r="G108" s="30"/>
      <c r="H108" s="27" t="s">
        <v>111</v>
      </c>
      <c r="I108" s="27">
        <v>1</v>
      </c>
      <c r="J108" s="27" t="s">
        <v>479</v>
      </c>
      <c r="K108" s="21" t="s">
        <v>492</v>
      </c>
      <c r="L108" s="27" t="s">
        <v>72</v>
      </c>
      <c r="M108" s="27" t="s">
        <v>523</v>
      </c>
      <c r="N108" s="27"/>
      <c r="O108" s="27" t="s">
        <v>531</v>
      </c>
      <c r="P108" s="27"/>
      <c r="Q108" s="35"/>
    </row>
    <row r="109" spans="1:17" ht="12.95" customHeight="1">
      <c r="A109" s="19"/>
      <c r="B109" s="27" t="s">
        <v>409</v>
      </c>
      <c r="C109" s="21" t="s">
        <v>469</v>
      </c>
      <c r="D109" s="27" t="s">
        <v>690</v>
      </c>
      <c r="E109" s="21" t="s">
        <v>691</v>
      </c>
      <c r="F109" s="21" t="s">
        <v>692</v>
      </c>
      <c r="G109" s="30"/>
      <c r="H109" s="27" t="s">
        <v>255</v>
      </c>
      <c r="I109" s="27">
        <v>2</v>
      </c>
      <c r="J109" s="27" t="s">
        <v>479</v>
      </c>
      <c r="K109" s="21" t="s">
        <v>492</v>
      </c>
      <c r="L109" s="27" t="s">
        <v>72</v>
      </c>
      <c r="M109" s="27" t="s">
        <v>523</v>
      </c>
      <c r="N109" s="27"/>
      <c r="O109" s="27" t="s">
        <v>531</v>
      </c>
      <c r="P109" s="27"/>
      <c r="Q109" s="35"/>
    </row>
    <row r="110" spans="1:17" ht="12.95" customHeight="1">
      <c r="A110" s="19"/>
      <c r="B110" s="27" t="s">
        <v>409</v>
      </c>
      <c r="C110" s="21" t="s">
        <v>469</v>
      </c>
      <c r="D110" s="27" t="s">
        <v>690</v>
      </c>
      <c r="E110" s="21" t="s">
        <v>691</v>
      </c>
      <c r="F110" s="21" t="s">
        <v>692</v>
      </c>
      <c r="G110" s="30"/>
      <c r="H110" s="27" t="s">
        <v>695</v>
      </c>
      <c r="I110" s="27">
        <v>2</v>
      </c>
      <c r="J110" s="27" t="s">
        <v>479</v>
      </c>
      <c r="K110" s="21" t="s">
        <v>492</v>
      </c>
      <c r="L110" s="27" t="s">
        <v>72</v>
      </c>
      <c r="M110" s="27" t="s">
        <v>523</v>
      </c>
      <c r="N110" s="27"/>
      <c r="O110" s="27" t="s">
        <v>531</v>
      </c>
      <c r="P110" s="27"/>
      <c r="Q110" s="35"/>
    </row>
    <row r="111" spans="1:17" ht="12.95" customHeight="1">
      <c r="A111" s="19"/>
      <c r="B111" s="27" t="s">
        <v>409</v>
      </c>
      <c r="C111" s="21" t="s">
        <v>469</v>
      </c>
      <c r="D111" s="27" t="s">
        <v>690</v>
      </c>
      <c r="E111" s="21" t="s">
        <v>691</v>
      </c>
      <c r="F111" s="21" t="s">
        <v>692</v>
      </c>
      <c r="G111" s="30"/>
      <c r="H111" s="27" t="s">
        <v>696</v>
      </c>
      <c r="I111" s="27">
        <v>1</v>
      </c>
      <c r="J111" s="27" t="s">
        <v>665</v>
      </c>
      <c r="K111" s="21" t="s">
        <v>492</v>
      </c>
      <c r="L111" s="27" t="s">
        <v>72</v>
      </c>
      <c r="M111" s="27" t="s">
        <v>523</v>
      </c>
      <c r="N111" s="27"/>
      <c r="O111" s="27" t="s">
        <v>531</v>
      </c>
      <c r="P111" s="27"/>
      <c r="Q111" s="35"/>
    </row>
    <row r="112" spans="1:17" ht="24.75" customHeight="1">
      <c r="A112" s="19">
        <v>38</v>
      </c>
      <c r="B112" s="24" t="s">
        <v>410</v>
      </c>
      <c r="C112" s="23" t="s">
        <v>469</v>
      </c>
      <c r="D112" s="23" t="s">
        <v>697</v>
      </c>
      <c r="E112" s="23"/>
      <c r="F112" s="23" t="s">
        <v>698</v>
      </c>
      <c r="G112" s="28"/>
      <c r="H112" s="24" t="s">
        <v>699</v>
      </c>
      <c r="I112" s="24">
        <v>2</v>
      </c>
      <c r="J112" s="24"/>
      <c r="K112" s="23" t="s">
        <v>492</v>
      </c>
      <c r="L112" s="24" t="s">
        <v>72</v>
      </c>
      <c r="M112" s="24" t="s">
        <v>523</v>
      </c>
      <c r="N112" s="24"/>
      <c r="O112" s="24" t="s">
        <v>531</v>
      </c>
      <c r="P112" s="24"/>
      <c r="Q112" s="26" t="s">
        <v>700</v>
      </c>
    </row>
    <row r="113" spans="1:17" ht="24" customHeight="1">
      <c r="A113" s="19">
        <v>39</v>
      </c>
      <c r="B113" s="27" t="s">
        <v>411</v>
      </c>
      <c r="C113" s="21" t="s">
        <v>469</v>
      </c>
      <c r="D113" s="21" t="s">
        <v>701</v>
      </c>
      <c r="E113" s="21"/>
      <c r="F113" s="21" t="s">
        <v>702</v>
      </c>
      <c r="G113" s="30"/>
      <c r="H113" s="27" t="s">
        <v>330</v>
      </c>
      <c r="I113" s="27">
        <v>1</v>
      </c>
      <c r="J113" s="27" t="s">
        <v>500</v>
      </c>
      <c r="K113" s="21" t="s">
        <v>492</v>
      </c>
      <c r="L113" s="27" t="s">
        <v>72</v>
      </c>
      <c r="M113" s="27" t="s">
        <v>523</v>
      </c>
      <c r="N113" s="27"/>
      <c r="O113" s="27" t="s">
        <v>531</v>
      </c>
      <c r="P113" s="27"/>
      <c r="Q113" s="35" t="s">
        <v>703</v>
      </c>
    </row>
    <row r="114" spans="1:17" ht="12.95" customHeight="1">
      <c r="A114" s="19"/>
      <c r="B114" s="27" t="s">
        <v>411</v>
      </c>
      <c r="C114" s="21" t="s">
        <v>469</v>
      </c>
      <c r="D114" s="21" t="s">
        <v>701</v>
      </c>
      <c r="E114" s="21"/>
      <c r="F114" s="21" t="s">
        <v>702</v>
      </c>
      <c r="G114" s="30"/>
      <c r="H114" s="27" t="s">
        <v>255</v>
      </c>
      <c r="I114" s="27">
        <v>1</v>
      </c>
      <c r="J114" s="27" t="s">
        <v>500</v>
      </c>
      <c r="K114" s="21" t="s">
        <v>492</v>
      </c>
      <c r="L114" s="27" t="s">
        <v>72</v>
      </c>
      <c r="M114" s="27" t="s">
        <v>523</v>
      </c>
      <c r="N114" s="27"/>
      <c r="O114" s="27" t="s">
        <v>531</v>
      </c>
      <c r="P114" s="27"/>
      <c r="Q114" s="35"/>
    </row>
    <row r="115" spans="1:17" ht="12.95" customHeight="1">
      <c r="A115" s="19"/>
      <c r="B115" s="27" t="s">
        <v>411</v>
      </c>
      <c r="C115" s="21" t="s">
        <v>469</v>
      </c>
      <c r="D115" s="21" t="s">
        <v>701</v>
      </c>
      <c r="E115" s="21"/>
      <c r="F115" s="21" t="s">
        <v>702</v>
      </c>
      <c r="G115" s="30"/>
      <c r="H115" s="27" t="s">
        <v>685</v>
      </c>
      <c r="I115" s="27">
        <v>1</v>
      </c>
      <c r="J115" s="27" t="s">
        <v>500</v>
      </c>
      <c r="K115" s="21" t="s">
        <v>492</v>
      </c>
      <c r="L115" s="27" t="s">
        <v>72</v>
      </c>
      <c r="M115" s="27" t="s">
        <v>523</v>
      </c>
      <c r="N115" s="27"/>
      <c r="O115" s="27" t="s">
        <v>531</v>
      </c>
      <c r="P115" s="27"/>
      <c r="Q115" s="35"/>
    </row>
    <row r="116" spans="1:17" ht="12.95" customHeight="1">
      <c r="A116" s="19"/>
      <c r="B116" s="27" t="s">
        <v>411</v>
      </c>
      <c r="C116" s="21" t="s">
        <v>469</v>
      </c>
      <c r="D116" s="21" t="s">
        <v>701</v>
      </c>
      <c r="E116" s="21"/>
      <c r="F116" s="21" t="s">
        <v>702</v>
      </c>
      <c r="G116" s="30"/>
      <c r="H116" s="27" t="s">
        <v>153</v>
      </c>
      <c r="I116" s="27">
        <v>2</v>
      </c>
      <c r="J116" s="27" t="s">
        <v>525</v>
      </c>
      <c r="K116" s="21" t="s">
        <v>492</v>
      </c>
      <c r="L116" s="27" t="s">
        <v>72</v>
      </c>
      <c r="M116" s="27" t="s">
        <v>523</v>
      </c>
      <c r="N116" s="27"/>
      <c r="O116" s="27" t="s">
        <v>531</v>
      </c>
      <c r="P116" s="27"/>
      <c r="Q116" s="35"/>
    </row>
    <row r="117" spans="1:17" ht="12.95" customHeight="1">
      <c r="A117" s="19"/>
      <c r="B117" s="27" t="s">
        <v>411</v>
      </c>
      <c r="C117" s="21" t="s">
        <v>469</v>
      </c>
      <c r="D117" s="21" t="s">
        <v>701</v>
      </c>
      <c r="E117" s="21"/>
      <c r="F117" s="21" t="s">
        <v>702</v>
      </c>
      <c r="G117" s="30"/>
      <c r="H117" s="27" t="s">
        <v>704</v>
      </c>
      <c r="I117" s="27">
        <v>1</v>
      </c>
      <c r="J117" s="27" t="s">
        <v>665</v>
      </c>
      <c r="K117" s="21" t="s">
        <v>492</v>
      </c>
      <c r="L117" s="27" t="s">
        <v>72</v>
      </c>
      <c r="M117" s="27" t="s">
        <v>523</v>
      </c>
      <c r="N117" s="27"/>
      <c r="O117" s="27" t="s">
        <v>531</v>
      </c>
      <c r="P117" s="27"/>
      <c r="Q117" s="35"/>
    </row>
    <row r="118" spans="1:17" ht="12.95" customHeight="1">
      <c r="A118" s="19">
        <v>40</v>
      </c>
      <c r="B118" s="24" t="s">
        <v>412</v>
      </c>
      <c r="C118" s="23" t="s">
        <v>469</v>
      </c>
      <c r="D118" s="23" t="s">
        <v>705</v>
      </c>
      <c r="E118" s="23"/>
      <c r="F118" s="23" t="s">
        <v>706</v>
      </c>
      <c r="G118" s="28"/>
      <c r="H118" s="24" t="s">
        <v>255</v>
      </c>
      <c r="I118" s="24">
        <v>1</v>
      </c>
      <c r="J118" s="24" t="s">
        <v>479</v>
      </c>
      <c r="K118" s="23" t="s">
        <v>492</v>
      </c>
      <c r="L118" s="24" t="s">
        <v>72</v>
      </c>
      <c r="M118" s="24" t="s">
        <v>523</v>
      </c>
      <c r="N118" s="24"/>
      <c r="O118" s="24" t="s">
        <v>477</v>
      </c>
      <c r="P118" s="24"/>
      <c r="Q118" s="34" t="s">
        <v>707</v>
      </c>
    </row>
    <row r="119" spans="1:17" ht="12.95" customHeight="1">
      <c r="A119" s="19"/>
      <c r="B119" s="24" t="s">
        <v>412</v>
      </c>
      <c r="C119" s="23" t="s">
        <v>469</v>
      </c>
      <c r="D119" s="23" t="s">
        <v>705</v>
      </c>
      <c r="E119" s="23"/>
      <c r="F119" s="23" t="s">
        <v>706</v>
      </c>
      <c r="G119" s="28"/>
      <c r="H119" s="24" t="s">
        <v>708</v>
      </c>
      <c r="I119" s="24">
        <v>1</v>
      </c>
      <c r="J119" s="24" t="s">
        <v>479</v>
      </c>
      <c r="K119" s="23" t="s">
        <v>492</v>
      </c>
      <c r="L119" s="24" t="s">
        <v>72</v>
      </c>
      <c r="M119" s="24" t="s">
        <v>523</v>
      </c>
      <c r="N119" s="24"/>
      <c r="O119" s="24" t="s">
        <v>477</v>
      </c>
      <c r="P119" s="24"/>
      <c r="Q119" s="34"/>
    </row>
    <row r="120" spans="1:17" ht="12.95" customHeight="1">
      <c r="A120" s="19"/>
      <c r="B120" s="24" t="s">
        <v>412</v>
      </c>
      <c r="C120" s="23" t="s">
        <v>469</v>
      </c>
      <c r="D120" s="23" t="s">
        <v>705</v>
      </c>
      <c r="E120" s="23"/>
      <c r="F120" s="23" t="s">
        <v>706</v>
      </c>
      <c r="G120" s="28"/>
      <c r="H120" s="24" t="s">
        <v>153</v>
      </c>
      <c r="I120" s="24">
        <v>1</v>
      </c>
      <c r="J120" s="24" t="s">
        <v>479</v>
      </c>
      <c r="K120" s="23" t="s">
        <v>492</v>
      </c>
      <c r="L120" s="24" t="s">
        <v>72</v>
      </c>
      <c r="M120" s="24" t="s">
        <v>523</v>
      </c>
      <c r="N120" s="24"/>
      <c r="O120" s="24" t="s">
        <v>477</v>
      </c>
      <c r="P120" s="24"/>
      <c r="Q120" s="34"/>
    </row>
    <row r="121" spans="1:17" ht="24.75" customHeight="1">
      <c r="A121" s="19">
        <v>41</v>
      </c>
      <c r="B121" s="27" t="s">
        <v>413</v>
      </c>
      <c r="C121" s="21" t="s">
        <v>469</v>
      </c>
      <c r="D121" s="27" t="s">
        <v>709</v>
      </c>
      <c r="E121" s="27"/>
      <c r="F121" s="27" t="s">
        <v>710</v>
      </c>
      <c r="G121" s="20"/>
      <c r="H121" s="27" t="s">
        <v>685</v>
      </c>
      <c r="I121" s="27">
        <v>1</v>
      </c>
      <c r="J121" s="27"/>
      <c r="K121" s="21" t="s">
        <v>492</v>
      </c>
      <c r="L121" s="27" t="s">
        <v>72</v>
      </c>
      <c r="M121" s="27" t="s">
        <v>523</v>
      </c>
      <c r="N121" s="27"/>
      <c r="O121" s="27" t="s">
        <v>531</v>
      </c>
      <c r="P121" s="27"/>
      <c r="Q121" s="22" t="s">
        <v>711</v>
      </c>
    </row>
    <row r="122" spans="1:17" ht="24.75" customHeight="1">
      <c r="A122" s="19">
        <v>42</v>
      </c>
      <c r="B122" s="24" t="s">
        <v>414</v>
      </c>
      <c r="C122" s="23" t="s">
        <v>469</v>
      </c>
      <c r="D122" s="24"/>
      <c r="E122" s="24"/>
      <c r="F122" s="24" t="s">
        <v>712</v>
      </c>
      <c r="G122" s="25"/>
      <c r="H122" s="24" t="s">
        <v>685</v>
      </c>
      <c r="I122" s="24">
        <v>1</v>
      </c>
      <c r="J122" s="24"/>
      <c r="K122" s="23" t="s">
        <v>492</v>
      </c>
      <c r="L122" s="24" t="s">
        <v>72</v>
      </c>
      <c r="M122" s="24" t="s">
        <v>523</v>
      </c>
      <c r="N122" s="24"/>
      <c r="O122" s="24" t="s">
        <v>531</v>
      </c>
      <c r="P122" s="24"/>
      <c r="Q122" s="26" t="s">
        <v>713</v>
      </c>
    </row>
    <row r="123" spans="1:17" ht="22.5">
      <c r="A123" s="19">
        <v>43</v>
      </c>
      <c r="B123" s="27" t="s">
        <v>415</v>
      </c>
      <c r="C123" s="21" t="s">
        <v>469</v>
      </c>
      <c r="D123" s="27" t="s">
        <v>714</v>
      </c>
      <c r="E123" s="27"/>
      <c r="F123" s="27" t="s">
        <v>715</v>
      </c>
      <c r="G123" s="20"/>
      <c r="H123" s="27" t="s">
        <v>685</v>
      </c>
      <c r="I123" s="27">
        <v>1</v>
      </c>
      <c r="J123" s="27"/>
      <c r="K123" s="21" t="s">
        <v>492</v>
      </c>
      <c r="L123" s="27" t="s">
        <v>72</v>
      </c>
      <c r="M123" s="27" t="s">
        <v>523</v>
      </c>
      <c r="N123" s="27"/>
      <c r="O123" s="27" t="s">
        <v>531</v>
      </c>
      <c r="P123" s="27"/>
      <c r="Q123" s="22" t="s">
        <v>716</v>
      </c>
    </row>
    <row r="124" spans="1:17" ht="24.75" customHeight="1">
      <c r="A124" s="19">
        <v>44</v>
      </c>
      <c r="B124" s="23" t="s">
        <v>416</v>
      </c>
      <c r="C124" s="23" t="s">
        <v>469</v>
      </c>
      <c r="D124" s="23" t="s">
        <v>717</v>
      </c>
      <c r="E124" s="23" t="s">
        <v>718</v>
      </c>
      <c r="F124" s="23" t="s">
        <v>719</v>
      </c>
      <c r="G124" s="28"/>
      <c r="H124" s="24" t="s">
        <v>720</v>
      </c>
      <c r="I124" s="24">
        <v>1</v>
      </c>
      <c r="J124" s="24"/>
      <c r="K124" s="24" t="s">
        <v>530</v>
      </c>
      <c r="L124" s="24" t="s">
        <v>72</v>
      </c>
      <c r="M124" s="24" t="s">
        <v>523</v>
      </c>
      <c r="N124" s="24"/>
      <c r="O124" s="24" t="s">
        <v>531</v>
      </c>
      <c r="P124" s="24"/>
      <c r="Q124" s="26" t="s">
        <v>721</v>
      </c>
    </row>
    <row r="125" spans="1:17" ht="24" customHeight="1">
      <c r="A125" s="19">
        <v>45</v>
      </c>
      <c r="B125" s="27" t="s">
        <v>417</v>
      </c>
      <c r="C125" s="21" t="s">
        <v>469</v>
      </c>
      <c r="D125" s="27" t="s">
        <v>722</v>
      </c>
      <c r="E125" s="27"/>
      <c r="F125" s="27" t="s">
        <v>723</v>
      </c>
      <c r="G125" s="20"/>
      <c r="H125" s="27" t="s">
        <v>255</v>
      </c>
      <c r="I125" s="27">
        <v>1</v>
      </c>
      <c r="J125" s="27"/>
      <c r="K125" s="21" t="s">
        <v>492</v>
      </c>
      <c r="L125" s="27" t="s">
        <v>72</v>
      </c>
      <c r="M125" s="27" t="s">
        <v>523</v>
      </c>
      <c r="N125" s="27"/>
      <c r="O125" s="27" t="s">
        <v>531</v>
      </c>
      <c r="P125" s="27"/>
      <c r="Q125" s="35" t="s">
        <v>724</v>
      </c>
    </row>
    <row r="126" spans="1:17" ht="12.95" customHeight="1">
      <c r="A126" s="19"/>
      <c r="B126" s="27" t="s">
        <v>417</v>
      </c>
      <c r="C126" s="21" t="s">
        <v>469</v>
      </c>
      <c r="D126" s="27" t="s">
        <v>722</v>
      </c>
      <c r="E126" s="27"/>
      <c r="F126" s="27" t="s">
        <v>723</v>
      </c>
      <c r="G126" s="20"/>
      <c r="H126" s="27" t="s">
        <v>153</v>
      </c>
      <c r="I126" s="27">
        <v>1</v>
      </c>
      <c r="J126" s="27"/>
      <c r="K126" s="21" t="s">
        <v>492</v>
      </c>
      <c r="L126" s="27" t="s">
        <v>72</v>
      </c>
      <c r="M126" s="27" t="s">
        <v>523</v>
      </c>
      <c r="N126" s="27"/>
      <c r="O126" s="27" t="s">
        <v>531</v>
      </c>
      <c r="P126" s="27"/>
      <c r="Q126" s="35"/>
    </row>
    <row r="127" spans="1:17" ht="12.95" customHeight="1">
      <c r="A127" s="19"/>
      <c r="B127" s="27" t="s">
        <v>417</v>
      </c>
      <c r="C127" s="21" t="s">
        <v>469</v>
      </c>
      <c r="D127" s="27" t="s">
        <v>722</v>
      </c>
      <c r="E127" s="27"/>
      <c r="F127" s="27" t="s">
        <v>723</v>
      </c>
      <c r="G127" s="20"/>
      <c r="H127" s="27" t="s">
        <v>320</v>
      </c>
      <c r="I127" s="27">
        <v>1</v>
      </c>
      <c r="J127" s="27"/>
      <c r="K127" s="21" t="s">
        <v>492</v>
      </c>
      <c r="L127" s="27" t="s">
        <v>72</v>
      </c>
      <c r="M127" s="27" t="s">
        <v>523</v>
      </c>
      <c r="N127" s="27"/>
      <c r="O127" s="27" t="s">
        <v>531</v>
      </c>
      <c r="P127" s="27"/>
      <c r="Q127" s="35"/>
    </row>
    <row r="128" spans="1:17" ht="24.75" customHeight="1">
      <c r="A128" s="19">
        <v>46</v>
      </c>
      <c r="B128" s="24" t="s">
        <v>418</v>
      </c>
      <c r="C128" s="23" t="s">
        <v>469</v>
      </c>
      <c r="D128" s="24" t="s">
        <v>725</v>
      </c>
      <c r="E128" s="24"/>
      <c r="F128" s="24" t="s">
        <v>726</v>
      </c>
      <c r="G128" s="25"/>
      <c r="H128" s="24" t="s">
        <v>699</v>
      </c>
      <c r="I128" s="24">
        <v>1</v>
      </c>
      <c r="J128" s="24"/>
      <c r="K128" s="23" t="s">
        <v>492</v>
      </c>
      <c r="L128" s="24" t="s">
        <v>72</v>
      </c>
      <c r="M128" s="24" t="s">
        <v>523</v>
      </c>
      <c r="N128" s="24"/>
      <c r="O128" s="24" t="s">
        <v>531</v>
      </c>
      <c r="P128" s="24"/>
      <c r="Q128" s="26" t="s">
        <v>727</v>
      </c>
    </row>
    <row r="129" spans="1:17" ht="21.95" customHeight="1">
      <c r="A129" s="19">
        <v>47</v>
      </c>
      <c r="B129" s="27" t="s">
        <v>419</v>
      </c>
      <c r="C129" s="21" t="s">
        <v>469</v>
      </c>
      <c r="D129" s="27" t="s">
        <v>728</v>
      </c>
      <c r="E129" s="27"/>
      <c r="F129" s="27" t="s">
        <v>729</v>
      </c>
      <c r="G129" s="20"/>
      <c r="H129" s="27" t="s">
        <v>153</v>
      </c>
      <c r="I129" s="27">
        <v>1</v>
      </c>
      <c r="J129" s="27" t="s">
        <v>500</v>
      </c>
      <c r="K129" s="21" t="s">
        <v>492</v>
      </c>
      <c r="L129" s="27" t="s">
        <v>72</v>
      </c>
      <c r="M129" s="27" t="s">
        <v>523</v>
      </c>
      <c r="N129" s="27"/>
      <c r="O129" s="27" t="s">
        <v>477</v>
      </c>
      <c r="P129" s="27"/>
      <c r="Q129" s="35" t="s">
        <v>730</v>
      </c>
    </row>
    <row r="130" spans="1:17" ht="12.95" customHeight="1">
      <c r="A130" s="19"/>
      <c r="B130" s="27" t="s">
        <v>419</v>
      </c>
      <c r="C130" s="21" t="s">
        <v>469</v>
      </c>
      <c r="D130" s="27" t="s">
        <v>728</v>
      </c>
      <c r="E130" s="27"/>
      <c r="F130" s="27" t="s">
        <v>729</v>
      </c>
      <c r="G130" s="20"/>
      <c r="H130" s="27" t="s">
        <v>731</v>
      </c>
      <c r="I130" s="27">
        <v>1</v>
      </c>
      <c r="J130" s="27" t="s">
        <v>500</v>
      </c>
      <c r="K130" s="21" t="s">
        <v>492</v>
      </c>
      <c r="L130" s="27" t="s">
        <v>72</v>
      </c>
      <c r="M130" s="27" t="s">
        <v>523</v>
      </c>
      <c r="N130" s="27"/>
      <c r="O130" s="27" t="s">
        <v>477</v>
      </c>
      <c r="P130" s="27"/>
      <c r="Q130" s="35"/>
    </row>
    <row r="131" spans="1:17" ht="12.95" customHeight="1">
      <c r="A131" s="19"/>
      <c r="B131" s="27" t="s">
        <v>419</v>
      </c>
      <c r="C131" s="21" t="s">
        <v>469</v>
      </c>
      <c r="D131" s="27" t="s">
        <v>728</v>
      </c>
      <c r="E131" s="27"/>
      <c r="F131" s="27" t="s">
        <v>729</v>
      </c>
      <c r="G131" s="20"/>
      <c r="H131" s="27" t="s">
        <v>685</v>
      </c>
      <c r="I131" s="27">
        <v>1</v>
      </c>
      <c r="J131" s="27" t="s">
        <v>500</v>
      </c>
      <c r="K131" s="21" t="s">
        <v>492</v>
      </c>
      <c r="L131" s="27" t="s">
        <v>72</v>
      </c>
      <c r="M131" s="27" t="s">
        <v>523</v>
      </c>
      <c r="N131" s="27"/>
      <c r="O131" s="27" t="s">
        <v>477</v>
      </c>
      <c r="P131" s="27"/>
      <c r="Q131" s="35"/>
    </row>
    <row r="132" spans="1:17" ht="24.75" customHeight="1">
      <c r="A132" s="19">
        <v>48</v>
      </c>
      <c r="B132" s="24" t="s">
        <v>420</v>
      </c>
      <c r="C132" s="23" t="s">
        <v>469</v>
      </c>
      <c r="D132" s="24" t="s">
        <v>732</v>
      </c>
      <c r="E132" s="24"/>
      <c r="F132" s="24" t="s">
        <v>733</v>
      </c>
      <c r="G132" s="25" t="s">
        <v>734</v>
      </c>
      <c r="H132" s="24" t="s">
        <v>252</v>
      </c>
      <c r="I132" s="24">
        <v>1</v>
      </c>
      <c r="J132" s="24" t="s">
        <v>735</v>
      </c>
      <c r="K132" s="23" t="s">
        <v>492</v>
      </c>
      <c r="L132" s="24" t="s">
        <v>72</v>
      </c>
      <c r="M132" s="24" t="s">
        <v>523</v>
      </c>
      <c r="N132" s="24"/>
      <c r="O132" s="24" t="s">
        <v>531</v>
      </c>
      <c r="P132" s="24"/>
      <c r="Q132" s="34" t="s">
        <v>736</v>
      </c>
    </row>
    <row r="133" spans="1:17" ht="24.75" customHeight="1">
      <c r="A133" s="19"/>
      <c r="B133" s="24" t="s">
        <v>420</v>
      </c>
      <c r="C133" s="23" t="s">
        <v>469</v>
      </c>
      <c r="D133" s="24" t="s">
        <v>732</v>
      </c>
      <c r="E133" s="24"/>
      <c r="F133" s="24" t="s">
        <v>733</v>
      </c>
      <c r="G133" s="25" t="s">
        <v>734</v>
      </c>
      <c r="H133" s="24" t="s">
        <v>255</v>
      </c>
      <c r="I133" s="24">
        <v>2</v>
      </c>
      <c r="J133" s="24" t="s">
        <v>500</v>
      </c>
      <c r="K133" s="23" t="s">
        <v>546</v>
      </c>
      <c r="L133" s="24" t="s">
        <v>72</v>
      </c>
      <c r="M133" s="24" t="s">
        <v>523</v>
      </c>
      <c r="N133" s="24"/>
      <c r="O133" s="24" t="s">
        <v>531</v>
      </c>
      <c r="P133" s="24"/>
      <c r="Q133" s="34"/>
    </row>
    <row r="134" spans="1:17" ht="24.75" customHeight="1">
      <c r="A134" s="19"/>
      <c r="B134" s="24" t="s">
        <v>420</v>
      </c>
      <c r="C134" s="23" t="s">
        <v>469</v>
      </c>
      <c r="D134" s="24" t="s">
        <v>732</v>
      </c>
      <c r="E134" s="24"/>
      <c r="F134" s="24" t="s">
        <v>733</v>
      </c>
      <c r="G134" s="25" t="s">
        <v>734</v>
      </c>
      <c r="H134" s="24" t="s">
        <v>737</v>
      </c>
      <c r="I134" s="24">
        <v>1</v>
      </c>
      <c r="J134" s="24" t="s">
        <v>500</v>
      </c>
      <c r="K134" s="23" t="s">
        <v>546</v>
      </c>
      <c r="L134" s="24" t="s">
        <v>72</v>
      </c>
      <c r="M134" s="24" t="s">
        <v>523</v>
      </c>
      <c r="N134" s="24"/>
      <c r="O134" s="24" t="s">
        <v>531</v>
      </c>
      <c r="P134" s="24"/>
      <c r="Q134" s="34"/>
    </row>
    <row r="135" spans="1:17" ht="24.75" customHeight="1">
      <c r="A135" s="19"/>
      <c r="B135" s="24" t="s">
        <v>420</v>
      </c>
      <c r="C135" s="23" t="s">
        <v>469</v>
      </c>
      <c r="D135" s="24" t="s">
        <v>732</v>
      </c>
      <c r="E135" s="24"/>
      <c r="F135" s="24" t="s">
        <v>733</v>
      </c>
      <c r="G135" s="25" t="s">
        <v>734</v>
      </c>
      <c r="H135" s="24" t="s">
        <v>320</v>
      </c>
      <c r="I135" s="24">
        <v>1</v>
      </c>
      <c r="J135" s="24" t="s">
        <v>500</v>
      </c>
      <c r="K135" s="23" t="s">
        <v>505</v>
      </c>
      <c r="L135" s="24" t="s">
        <v>72</v>
      </c>
      <c r="M135" s="24" t="s">
        <v>523</v>
      </c>
      <c r="N135" s="24"/>
      <c r="O135" s="24" t="s">
        <v>531</v>
      </c>
      <c r="P135" s="24"/>
      <c r="Q135" s="34"/>
    </row>
    <row r="136" spans="1:17" ht="24.75" customHeight="1">
      <c r="A136" s="19">
        <v>49</v>
      </c>
      <c r="B136" s="27" t="s">
        <v>421</v>
      </c>
      <c r="C136" s="21" t="s">
        <v>469</v>
      </c>
      <c r="D136" s="27" t="s">
        <v>738</v>
      </c>
      <c r="E136" s="27"/>
      <c r="F136" s="27" t="s">
        <v>739</v>
      </c>
      <c r="G136" s="20"/>
      <c r="H136" s="27" t="s">
        <v>255</v>
      </c>
      <c r="I136" s="27">
        <v>1</v>
      </c>
      <c r="J136" s="27" t="s">
        <v>500</v>
      </c>
      <c r="K136" s="21" t="s">
        <v>492</v>
      </c>
      <c r="L136" s="27" t="s">
        <v>72</v>
      </c>
      <c r="M136" s="27" t="s">
        <v>523</v>
      </c>
      <c r="N136" s="27"/>
      <c r="O136" s="27" t="s">
        <v>477</v>
      </c>
      <c r="P136" s="27"/>
      <c r="Q136" s="35" t="s">
        <v>740</v>
      </c>
    </row>
    <row r="137" spans="1:17" ht="24.75" customHeight="1">
      <c r="A137" s="19"/>
      <c r="B137" s="27" t="s">
        <v>421</v>
      </c>
      <c r="C137" s="21" t="s">
        <v>469</v>
      </c>
      <c r="D137" s="27" t="s">
        <v>738</v>
      </c>
      <c r="E137" s="27"/>
      <c r="F137" s="27" t="s">
        <v>739</v>
      </c>
      <c r="G137" s="20"/>
      <c r="H137" s="27" t="s">
        <v>330</v>
      </c>
      <c r="I137" s="27">
        <v>1</v>
      </c>
      <c r="J137" s="27" t="s">
        <v>500</v>
      </c>
      <c r="K137" s="21" t="s">
        <v>492</v>
      </c>
      <c r="L137" s="27" t="s">
        <v>72</v>
      </c>
      <c r="M137" s="27" t="s">
        <v>523</v>
      </c>
      <c r="N137" s="27"/>
      <c r="O137" s="27" t="s">
        <v>477</v>
      </c>
      <c r="P137" s="27"/>
      <c r="Q137" s="35"/>
    </row>
    <row r="138" spans="1:17" ht="24.75" customHeight="1">
      <c r="A138" s="19">
        <v>50</v>
      </c>
      <c r="B138" s="24" t="s">
        <v>422</v>
      </c>
      <c r="C138" s="23" t="s">
        <v>469</v>
      </c>
      <c r="D138" s="24" t="s">
        <v>741</v>
      </c>
      <c r="E138" s="24"/>
      <c r="F138" s="24" t="s">
        <v>742</v>
      </c>
      <c r="G138" s="25"/>
      <c r="H138" s="24" t="s">
        <v>330</v>
      </c>
      <c r="I138" s="24">
        <v>1</v>
      </c>
      <c r="J138" s="24" t="s">
        <v>479</v>
      </c>
      <c r="K138" s="23" t="s">
        <v>492</v>
      </c>
      <c r="L138" s="24" t="s">
        <v>72</v>
      </c>
      <c r="M138" s="24" t="s">
        <v>523</v>
      </c>
      <c r="N138" s="24"/>
      <c r="O138" s="24" t="s">
        <v>477</v>
      </c>
      <c r="P138" s="24"/>
      <c r="Q138" s="34" t="s">
        <v>743</v>
      </c>
    </row>
    <row r="139" spans="1:17" ht="24.75" customHeight="1">
      <c r="A139" s="19"/>
      <c r="B139" s="24" t="s">
        <v>422</v>
      </c>
      <c r="C139" s="23" t="s">
        <v>469</v>
      </c>
      <c r="D139" s="24" t="s">
        <v>741</v>
      </c>
      <c r="E139" s="24"/>
      <c r="F139" s="24" t="s">
        <v>742</v>
      </c>
      <c r="G139" s="25"/>
      <c r="H139" s="24" t="s">
        <v>255</v>
      </c>
      <c r="I139" s="24">
        <v>1</v>
      </c>
      <c r="J139" s="24" t="s">
        <v>479</v>
      </c>
      <c r="K139" s="23" t="s">
        <v>492</v>
      </c>
      <c r="L139" s="24" t="s">
        <v>72</v>
      </c>
      <c r="M139" s="24" t="s">
        <v>523</v>
      </c>
      <c r="N139" s="24"/>
      <c r="O139" s="24" t="s">
        <v>477</v>
      </c>
      <c r="P139" s="24"/>
      <c r="Q139" s="34" t="s">
        <v>744</v>
      </c>
    </row>
    <row r="140" spans="1:17" ht="20.25" customHeight="1">
      <c r="A140" s="19">
        <v>51</v>
      </c>
      <c r="B140" s="27" t="s">
        <v>423</v>
      </c>
      <c r="C140" s="21" t="s">
        <v>469</v>
      </c>
      <c r="D140" s="27" t="s">
        <v>745</v>
      </c>
      <c r="E140" s="27" t="s">
        <v>746</v>
      </c>
      <c r="F140" s="27" t="s">
        <v>747</v>
      </c>
      <c r="G140" s="20"/>
      <c r="H140" s="27" t="s">
        <v>748</v>
      </c>
      <c r="I140" s="27">
        <v>1</v>
      </c>
      <c r="J140" s="27" t="s">
        <v>479</v>
      </c>
      <c r="K140" s="21" t="s">
        <v>662</v>
      </c>
      <c r="L140" s="27" t="s">
        <v>72</v>
      </c>
      <c r="M140" s="27" t="s">
        <v>523</v>
      </c>
      <c r="N140" s="27"/>
      <c r="O140" s="27" t="s">
        <v>531</v>
      </c>
      <c r="P140" s="27"/>
      <c r="Q140" s="35"/>
    </row>
    <row r="141" spans="1:17" ht="20.25" customHeight="1">
      <c r="A141" s="19"/>
      <c r="B141" s="27" t="s">
        <v>423</v>
      </c>
      <c r="C141" s="21" t="s">
        <v>469</v>
      </c>
      <c r="D141" s="27" t="s">
        <v>745</v>
      </c>
      <c r="E141" s="27" t="s">
        <v>746</v>
      </c>
      <c r="F141" s="27" t="s">
        <v>747</v>
      </c>
      <c r="G141" s="20"/>
      <c r="H141" s="27" t="s">
        <v>598</v>
      </c>
      <c r="I141" s="27">
        <v>1</v>
      </c>
      <c r="J141" s="27" t="s">
        <v>500</v>
      </c>
      <c r="K141" s="21" t="s">
        <v>662</v>
      </c>
      <c r="L141" s="27" t="s">
        <v>72</v>
      </c>
      <c r="M141" s="27" t="s">
        <v>523</v>
      </c>
      <c r="N141" s="27"/>
      <c r="O141" s="27" t="s">
        <v>531</v>
      </c>
      <c r="P141" s="27"/>
      <c r="Q141" s="35"/>
    </row>
    <row r="142" spans="1:17" ht="20.25" customHeight="1">
      <c r="A142" s="19">
        <v>52</v>
      </c>
      <c r="B142" s="24" t="s">
        <v>424</v>
      </c>
      <c r="C142" s="23" t="s">
        <v>469</v>
      </c>
      <c r="D142" s="24" t="s">
        <v>749</v>
      </c>
      <c r="E142" s="23" t="s">
        <v>750</v>
      </c>
      <c r="F142" s="23" t="s">
        <v>751</v>
      </c>
      <c r="G142" s="28"/>
      <c r="H142" s="24" t="s">
        <v>752</v>
      </c>
      <c r="I142" s="24">
        <v>1</v>
      </c>
      <c r="J142" s="24"/>
      <c r="K142" s="23" t="s">
        <v>662</v>
      </c>
      <c r="L142" s="24" t="s">
        <v>72</v>
      </c>
      <c r="M142" s="24" t="s">
        <v>523</v>
      </c>
      <c r="N142" s="24"/>
      <c r="O142" s="24" t="s">
        <v>531</v>
      </c>
      <c r="P142" s="24"/>
      <c r="Q142" s="34" t="s">
        <v>753</v>
      </c>
    </row>
    <row r="143" spans="1:17" ht="20.25" customHeight="1">
      <c r="A143" s="19"/>
      <c r="B143" s="24" t="s">
        <v>424</v>
      </c>
      <c r="C143" s="23" t="s">
        <v>469</v>
      </c>
      <c r="D143" s="24" t="s">
        <v>749</v>
      </c>
      <c r="E143" s="23" t="s">
        <v>750</v>
      </c>
      <c r="F143" s="23" t="s">
        <v>751</v>
      </c>
      <c r="G143" s="28"/>
      <c r="H143" s="24" t="s">
        <v>561</v>
      </c>
      <c r="I143" s="24">
        <v>1</v>
      </c>
      <c r="J143" s="24"/>
      <c r="K143" s="23" t="s">
        <v>662</v>
      </c>
      <c r="L143" s="24" t="s">
        <v>72</v>
      </c>
      <c r="M143" s="24" t="s">
        <v>523</v>
      </c>
      <c r="N143" s="24"/>
      <c r="O143" s="24" t="s">
        <v>531</v>
      </c>
      <c r="P143" s="24"/>
      <c r="Q143" s="37"/>
    </row>
    <row r="144" spans="1:17" ht="42" customHeight="1">
      <c r="A144" s="19">
        <v>53</v>
      </c>
      <c r="B144" s="27" t="s">
        <v>425</v>
      </c>
      <c r="C144" s="21" t="s">
        <v>469</v>
      </c>
      <c r="D144" s="27" t="s">
        <v>754</v>
      </c>
      <c r="E144" s="27" t="s">
        <v>755</v>
      </c>
      <c r="F144" s="27"/>
      <c r="G144" s="20"/>
      <c r="H144" s="27" t="s">
        <v>178</v>
      </c>
      <c r="I144" s="27">
        <v>4</v>
      </c>
      <c r="J144" s="27" t="s">
        <v>479</v>
      </c>
      <c r="K144" s="21" t="s">
        <v>511</v>
      </c>
      <c r="L144" s="27" t="s">
        <v>72</v>
      </c>
      <c r="M144" s="27" t="s">
        <v>523</v>
      </c>
      <c r="N144" s="27"/>
      <c r="O144" s="27" t="s">
        <v>531</v>
      </c>
      <c r="P144" s="27"/>
      <c r="Q144" s="36"/>
    </row>
    <row r="145" spans="1:17" ht="42" customHeight="1">
      <c r="A145" s="19"/>
      <c r="B145" s="27" t="s">
        <v>425</v>
      </c>
      <c r="C145" s="21" t="s">
        <v>469</v>
      </c>
      <c r="D145" s="27" t="s">
        <v>754</v>
      </c>
      <c r="E145" s="27" t="s">
        <v>755</v>
      </c>
      <c r="F145" s="27"/>
      <c r="G145" s="20"/>
      <c r="H145" s="27" t="s">
        <v>255</v>
      </c>
      <c r="I145" s="27">
        <v>2</v>
      </c>
      <c r="J145" s="27" t="s">
        <v>490</v>
      </c>
      <c r="K145" s="21" t="s">
        <v>511</v>
      </c>
      <c r="L145" s="27" t="s">
        <v>72</v>
      </c>
      <c r="M145" s="27" t="s">
        <v>523</v>
      </c>
      <c r="N145" s="27"/>
      <c r="O145" s="27" t="s">
        <v>531</v>
      </c>
      <c r="P145" s="27"/>
      <c r="Q145" s="36"/>
    </row>
    <row r="146" spans="1:17" ht="12" customHeight="1">
      <c r="A146" s="19">
        <v>54</v>
      </c>
      <c r="B146" s="23" t="s">
        <v>426</v>
      </c>
      <c r="C146" s="23" t="s">
        <v>469</v>
      </c>
      <c r="D146" s="24" t="s">
        <v>756</v>
      </c>
      <c r="E146" s="24" t="s">
        <v>757</v>
      </c>
      <c r="F146" s="24"/>
      <c r="G146" s="25"/>
      <c r="H146" s="24" t="s">
        <v>81</v>
      </c>
      <c r="I146" s="24">
        <v>1</v>
      </c>
      <c r="J146" s="24"/>
      <c r="K146" s="23" t="s">
        <v>505</v>
      </c>
      <c r="L146" s="24" t="s">
        <v>72</v>
      </c>
      <c r="M146" s="24" t="s">
        <v>523</v>
      </c>
      <c r="N146" s="24"/>
      <c r="O146" s="24" t="s">
        <v>531</v>
      </c>
      <c r="P146" s="24"/>
      <c r="Q146" s="34" t="s">
        <v>758</v>
      </c>
    </row>
    <row r="147" spans="1:17" ht="12" customHeight="1">
      <c r="A147" s="19"/>
      <c r="B147" s="23" t="s">
        <v>426</v>
      </c>
      <c r="C147" s="23" t="s">
        <v>469</v>
      </c>
      <c r="D147" s="24" t="s">
        <v>756</v>
      </c>
      <c r="E147" s="24" t="s">
        <v>757</v>
      </c>
      <c r="F147" s="24"/>
      <c r="G147" s="25"/>
      <c r="H147" s="24" t="s">
        <v>557</v>
      </c>
      <c r="I147" s="24">
        <v>1</v>
      </c>
      <c r="J147" s="24"/>
      <c r="K147" s="23" t="s">
        <v>484</v>
      </c>
      <c r="L147" s="24" t="s">
        <v>72</v>
      </c>
      <c r="M147" s="24" t="s">
        <v>523</v>
      </c>
      <c r="N147" s="24"/>
      <c r="O147" s="24" t="s">
        <v>531</v>
      </c>
      <c r="P147" s="24"/>
      <c r="Q147" s="34"/>
    </row>
    <row r="148" spans="1:17" ht="12" customHeight="1">
      <c r="A148" s="19"/>
      <c r="B148" s="23" t="s">
        <v>426</v>
      </c>
      <c r="C148" s="23" t="s">
        <v>469</v>
      </c>
      <c r="D148" s="24" t="s">
        <v>756</v>
      </c>
      <c r="E148" s="24" t="s">
        <v>757</v>
      </c>
      <c r="F148" s="24"/>
      <c r="G148" s="25"/>
      <c r="H148" s="24" t="s">
        <v>20</v>
      </c>
      <c r="I148" s="24">
        <v>1</v>
      </c>
      <c r="J148" s="24"/>
      <c r="K148" s="23" t="s">
        <v>492</v>
      </c>
      <c r="L148" s="24" t="s">
        <v>72</v>
      </c>
      <c r="M148" s="24" t="s">
        <v>523</v>
      </c>
      <c r="N148" s="24"/>
      <c r="O148" s="24" t="s">
        <v>531</v>
      </c>
      <c r="P148" s="24"/>
      <c r="Q148" s="34"/>
    </row>
    <row r="149" spans="1:17" ht="12.95" customHeight="1">
      <c r="A149" s="19">
        <v>55</v>
      </c>
      <c r="B149" s="21" t="s">
        <v>427</v>
      </c>
      <c r="C149" s="21" t="s">
        <v>469</v>
      </c>
      <c r="D149" s="21" t="s">
        <v>759</v>
      </c>
      <c r="E149" s="21" t="s">
        <v>760</v>
      </c>
      <c r="F149" s="21"/>
      <c r="G149" s="30"/>
      <c r="H149" s="27" t="s">
        <v>761</v>
      </c>
      <c r="I149" s="27">
        <v>1</v>
      </c>
      <c r="J149" s="27" t="s">
        <v>479</v>
      </c>
      <c r="K149" s="21" t="s">
        <v>560</v>
      </c>
      <c r="L149" s="27" t="s">
        <v>72</v>
      </c>
      <c r="M149" s="27" t="s">
        <v>523</v>
      </c>
      <c r="N149" s="27"/>
      <c r="O149" s="27" t="s">
        <v>531</v>
      </c>
      <c r="P149" s="27"/>
      <c r="Q149" s="35"/>
    </row>
    <row r="150" spans="1:17" ht="12.95" customHeight="1">
      <c r="A150" s="19"/>
      <c r="B150" s="21" t="s">
        <v>427</v>
      </c>
      <c r="C150" s="21" t="s">
        <v>469</v>
      </c>
      <c r="D150" s="21" t="s">
        <v>759</v>
      </c>
      <c r="E150" s="21" t="s">
        <v>760</v>
      </c>
      <c r="F150" s="21"/>
      <c r="G150" s="30"/>
      <c r="H150" s="27" t="s">
        <v>637</v>
      </c>
      <c r="I150" s="27">
        <v>1</v>
      </c>
      <c r="J150" s="27" t="s">
        <v>479</v>
      </c>
      <c r="K150" s="21" t="s">
        <v>560</v>
      </c>
      <c r="L150" s="27" t="s">
        <v>72</v>
      </c>
      <c r="M150" s="27" t="s">
        <v>523</v>
      </c>
      <c r="N150" s="27"/>
      <c r="O150" s="27" t="s">
        <v>531</v>
      </c>
      <c r="P150" s="27"/>
      <c r="Q150" s="35"/>
    </row>
    <row r="151" spans="1:17" ht="12.95" customHeight="1">
      <c r="A151" s="19"/>
      <c r="B151" s="21" t="s">
        <v>427</v>
      </c>
      <c r="C151" s="21" t="s">
        <v>469</v>
      </c>
      <c r="D151" s="21" t="s">
        <v>759</v>
      </c>
      <c r="E151" s="21" t="s">
        <v>760</v>
      </c>
      <c r="F151" s="21"/>
      <c r="G151" s="30"/>
      <c r="H151" s="27" t="s">
        <v>557</v>
      </c>
      <c r="I151" s="27">
        <v>1</v>
      </c>
      <c r="J151" s="27" t="s">
        <v>479</v>
      </c>
      <c r="K151" s="21" t="s">
        <v>560</v>
      </c>
      <c r="L151" s="27" t="s">
        <v>72</v>
      </c>
      <c r="M151" s="27" t="s">
        <v>523</v>
      </c>
      <c r="N151" s="27"/>
      <c r="O151" s="27" t="s">
        <v>531</v>
      </c>
      <c r="P151" s="27"/>
      <c r="Q151" s="35"/>
    </row>
    <row r="152" spans="1:17" ht="12.95" customHeight="1">
      <c r="A152" s="19"/>
      <c r="B152" s="21" t="s">
        <v>427</v>
      </c>
      <c r="C152" s="21" t="s">
        <v>469</v>
      </c>
      <c r="D152" s="21" t="s">
        <v>759</v>
      </c>
      <c r="E152" s="21" t="s">
        <v>760</v>
      </c>
      <c r="F152" s="21"/>
      <c r="G152" s="30"/>
      <c r="H152" s="27" t="s">
        <v>588</v>
      </c>
      <c r="I152" s="27">
        <v>1</v>
      </c>
      <c r="J152" s="27" t="s">
        <v>479</v>
      </c>
      <c r="K152" s="21" t="s">
        <v>560</v>
      </c>
      <c r="L152" s="27" t="s">
        <v>72</v>
      </c>
      <c r="M152" s="27" t="s">
        <v>523</v>
      </c>
      <c r="N152" s="27"/>
      <c r="O152" s="27" t="s">
        <v>531</v>
      </c>
      <c r="P152" s="27"/>
      <c r="Q152" s="35"/>
    </row>
    <row r="153" spans="1:17" ht="12.95" customHeight="1">
      <c r="A153" s="19">
        <v>56</v>
      </c>
      <c r="B153" s="24" t="s">
        <v>428</v>
      </c>
      <c r="C153" s="23" t="s">
        <v>469</v>
      </c>
      <c r="D153" s="23" t="s">
        <v>762</v>
      </c>
      <c r="E153" s="24"/>
      <c r="F153" s="24" t="s">
        <v>763</v>
      </c>
      <c r="G153" s="25"/>
      <c r="H153" s="24" t="s">
        <v>255</v>
      </c>
      <c r="I153" s="24">
        <v>1</v>
      </c>
      <c r="J153" s="24" t="s">
        <v>500</v>
      </c>
      <c r="K153" s="23" t="s">
        <v>546</v>
      </c>
      <c r="L153" s="24" t="s">
        <v>72</v>
      </c>
      <c r="M153" s="24" t="s">
        <v>523</v>
      </c>
      <c r="N153" s="24"/>
      <c r="O153" s="24" t="s">
        <v>531</v>
      </c>
      <c r="P153" s="24"/>
      <c r="Q153" s="34" t="s">
        <v>764</v>
      </c>
    </row>
    <row r="154" spans="1:17" ht="12.95" customHeight="1">
      <c r="A154" s="19"/>
      <c r="B154" s="24" t="s">
        <v>428</v>
      </c>
      <c r="C154" s="23" t="s">
        <v>469</v>
      </c>
      <c r="D154" s="23" t="s">
        <v>762</v>
      </c>
      <c r="E154" s="24"/>
      <c r="F154" s="24" t="s">
        <v>763</v>
      </c>
      <c r="G154" s="25"/>
      <c r="H154" s="24" t="s">
        <v>598</v>
      </c>
      <c r="I154" s="24">
        <v>1</v>
      </c>
      <c r="J154" s="24" t="s">
        <v>500</v>
      </c>
      <c r="K154" s="23" t="s">
        <v>546</v>
      </c>
      <c r="L154" s="24" t="s">
        <v>72</v>
      </c>
      <c r="M154" s="24" t="s">
        <v>523</v>
      </c>
      <c r="N154" s="24"/>
      <c r="O154" s="24" t="s">
        <v>531</v>
      </c>
      <c r="P154" s="24"/>
      <c r="Q154" s="34"/>
    </row>
    <row r="155" spans="1:17" ht="12.95" customHeight="1">
      <c r="A155" s="19"/>
      <c r="B155" s="24" t="s">
        <v>428</v>
      </c>
      <c r="C155" s="23" t="s">
        <v>469</v>
      </c>
      <c r="D155" s="23" t="s">
        <v>762</v>
      </c>
      <c r="E155" s="24"/>
      <c r="F155" s="24" t="s">
        <v>763</v>
      </c>
      <c r="G155" s="25"/>
      <c r="H155" s="24" t="s">
        <v>111</v>
      </c>
      <c r="I155" s="24">
        <v>1</v>
      </c>
      <c r="J155" s="24" t="s">
        <v>500</v>
      </c>
      <c r="K155" s="23" t="s">
        <v>546</v>
      </c>
      <c r="L155" s="24" t="s">
        <v>72</v>
      </c>
      <c r="M155" s="24" t="s">
        <v>523</v>
      </c>
      <c r="N155" s="24"/>
      <c r="O155" s="24" t="s">
        <v>531</v>
      </c>
      <c r="P155" s="24"/>
      <c r="Q155" s="34"/>
    </row>
    <row r="156" spans="1:17" ht="12.95" customHeight="1">
      <c r="A156" s="19"/>
      <c r="B156" s="24" t="s">
        <v>428</v>
      </c>
      <c r="C156" s="23" t="s">
        <v>469</v>
      </c>
      <c r="D156" s="23" t="s">
        <v>762</v>
      </c>
      <c r="E156" s="24"/>
      <c r="F156" s="24" t="s">
        <v>763</v>
      </c>
      <c r="G156" s="25"/>
      <c r="H156" s="24" t="s">
        <v>737</v>
      </c>
      <c r="I156" s="24">
        <v>1</v>
      </c>
      <c r="J156" s="24" t="s">
        <v>500</v>
      </c>
      <c r="K156" s="23" t="s">
        <v>546</v>
      </c>
      <c r="L156" s="24" t="s">
        <v>72</v>
      </c>
      <c r="M156" s="24" t="s">
        <v>523</v>
      </c>
      <c r="N156" s="24"/>
      <c r="O156" s="24" t="s">
        <v>531</v>
      </c>
      <c r="P156" s="24"/>
      <c r="Q156" s="34"/>
    </row>
    <row r="157" spans="1:17" ht="12.95" customHeight="1">
      <c r="A157" s="19"/>
      <c r="B157" s="24" t="s">
        <v>428</v>
      </c>
      <c r="C157" s="23" t="s">
        <v>469</v>
      </c>
      <c r="D157" s="23" t="s">
        <v>762</v>
      </c>
      <c r="E157" s="24"/>
      <c r="F157" s="24" t="s">
        <v>763</v>
      </c>
      <c r="G157" s="25"/>
      <c r="H157" s="24" t="s">
        <v>704</v>
      </c>
      <c r="I157" s="24">
        <v>1</v>
      </c>
      <c r="J157" s="24" t="s">
        <v>500</v>
      </c>
      <c r="K157" s="23" t="s">
        <v>492</v>
      </c>
      <c r="L157" s="24" t="s">
        <v>72</v>
      </c>
      <c r="M157" s="24" t="s">
        <v>523</v>
      </c>
      <c r="N157" s="24"/>
      <c r="O157" s="24" t="s">
        <v>531</v>
      </c>
      <c r="P157" s="24"/>
      <c r="Q157" s="34"/>
    </row>
    <row r="158" spans="1:17" ht="20.25" customHeight="1">
      <c r="A158" s="19">
        <v>57</v>
      </c>
      <c r="B158" s="27" t="s">
        <v>429</v>
      </c>
      <c r="C158" s="21" t="s">
        <v>469</v>
      </c>
      <c r="D158" s="27" t="s">
        <v>765</v>
      </c>
      <c r="E158" s="21" t="s">
        <v>766</v>
      </c>
      <c r="F158" s="21"/>
      <c r="G158" s="30"/>
      <c r="H158" s="27" t="s">
        <v>720</v>
      </c>
      <c r="I158" s="27">
        <v>1</v>
      </c>
      <c r="J158" s="27"/>
      <c r="K158" s="27"/>
      <c r="L158" s="27" t="s">
        <v>72</v>
      </c>
      <c r="M158" s="27" t="s">
        <v>523</v>
      </c>
      <c r="N158" s="27"/>
      <c r="O158" s="27" t="s">
        <v>531</v>
      </c>
      <c r="P158" s="27"/>
      <c r="Q158" s="31" t="s">
        <v>767</v>
      </c>
    </row>
    <row r="159" spans="1:17" ht="12">
      <c r="A159" s="19">
        <v>58</v>
      </c>
      <c r="B159" s="23" t="s">
        <v>430</v>
      </c>
      <c r="C159" s="23" t="s">
        <v>469</v>
      </c>
      <c r="D159" s="23" t="s">
        <v>768</v>
      </c>
      <c r="E159" s="23" t="s">
        <v>769</v>
      </c>
      <c r="F159" s="23"/>
      <c r="G159" s="28"/>
      <c r="H159" s="24" t="s">
        <v>770</v>
      </c>
      <c r="I159" s="24">
        <v>2</v>
      </c>
      <c r="J159" s="24"/>
      <c r="K159" s="24" t="s">
        <v>771</v>
      </c>
      <c r="L159" s="24" t="s">
        <v>72</v>
      </c>
      <c r="M159" s="24" t="s">
        <v>523</v>
      </c>
      <c r="N159" s="24"/>
      <c r="O159" s="24" t="s">
        <v>531</v>
      </c>
      <c r="P159" s="24"/>
      <c r="Q159" s="32"/>
    </row>
    <row r="160" spans="1:17" ht="20.25" customHeight="1">
      <c r="A160" s="19">
        <v>59</v>
      </c>
      <c r="B160" s="21" t="s">
        <v>431</v>
      </c>
      <c r="C160" s="21" t="s">
        <v>469</v>
      </c>
      <c r="D160" s="21" t="s">
        <v>772</v>
      </c>
      <c r="E160" s="21" t="s">
        <v>773</v>
      </c>
      <c r="F160" s="21"/>
      <c r="G160" s="30"/>
      <c r="H160" s="27" t="s">
        <v>770</v>
      </c>
      <c r="I160" s="27">
        <v>1</v>
      </c>
      <c r="J160" s="27"/>
      <c r="K160" s="21" t="s">
        <v>475</v>
      </c>
      <c r="L160" s="27" t="s">
        <v>72</v>
      </c>
      <c r="M160" s="27" t="s">
        <v>523</v>
      </c>
      <c r="N160" s="27"/>
      <c r="O160" s="27" t="s">
        <v>531</v>
      </c>
      <c r="P160" s="27"/>
      <c r="Q160" s="31"/>
    </row>
    <row r="161" spans="1:17" ht="20.25" customHeight="1">
      <c r="A161" s="19">
        <v>60</v>
      </c>
      <c r="B161" s="24" t="s">
        <v>432</v>
      </c>
      <c r="C161" s="23" t="s">
        <v>469</v>
      </c>
      <c r="D161" s="24"/>
      <c r="E161" s="24"/>
      <c r="F161" s="24"/>
      <c r="G161" s="25"/>
      <c r="H161" s="24"/>
      <c r="I161" s="24"/>
      <c r="J161" s="24"/>
      <c r="K161" s="23"/>
      <c r="L161" s="24" t="s">
        <v>72</v>
      </c>
      <c r="M161" s="24" t="s">
        <v>523</v>
      </c>
      <c r="N161" s="24"/>
      <c r="O161" s="24" t="s">
        <v>531</v>
      </c>
      <c r="P161" s="24"/>
      <c r="Q161" s="26" t="s">
        <v>774</v>
      </c>
    </row>
    <row r="162" spans="1:17" ht="20.25" customHeight="1">
      <c r="A162" s="19">
        <v>61</v>
      </c>
      <c r="B162" s="27" t="s">
        <v>433</v>
      </c>
      <c r="C162" s="21" t="s">
        <v>469</v>
      </c>
      <c r="D162" s="27" t="s">
        <v>775</v>
      </c>
      <c r="E162" s="27" t="s">
        <v>776</v>
      </c>
      <c r="F162" s="27"/>
      <c r="G162" s="20"/>
      <c r="H162" s="27"/>
      <c r="I162" s="27"/>
      <c r="J162" s="27"/>
      <c r="K162" s="21"/>
      <c r="L162" s="27" t="s">
        <v>72</v>
      </c>
      <c r="M162" s="27" t="s">
        <v>523</v>
      </c>
      <c r="N162" s="27"/>
      <c r="O162" s="27" t="s">
        <v>531</v>
      </c>
      <c r="P162" s="27"/>
      <c r="Q162" s="22" t="s">
        <v>774</v>
      </c>
    </row>
    <row r="163" spans="1:17" ht="20.25" customHeight="1">
      <c r="A163" s="19">
        <v>62</v>
      </c>
      <c r="B163" s="24" t="s">
        <v>434</v>
      </c>
      <c r="C163" s="23" t="s">
        <v>469</v>
      </c>
      <c r="D163" s="24"/>
      <c r="E163" s="24"/>
      <c r="F163" s="24"/>
      <c r="G163" s="25"/>
      <c r="H163" s="24" t="s">
        <v>720</v>
      </c>
      <c r="I163" s="24"/>
      <c r="J163" s="24"/>
      <c r="K163" s="23" t="s">
        <v>662</v>
      </c>
      <c r="L163" s="24" t="s">
        <v>72</v>
      </c>
      <c r="M163" s="24" t="s">
        <v>523</v>
      </c>
      <c r="N163" s="24"/>
      <c r="O163" s="24" t="s">
        <v>531</v>
      </c>
      <c r="P163" s="24"/>
      <c r="Q163" s="32" t="s">
        <v>774</v>
      </c>
    </row>
    <row r="164" spans="1:17" ht="20.25" customHeight="1">
      <c r="A164" s="19">
        <v>63</v>
      </c>
      <c r="B164" s="27" t="s">
        <v>435</v>
      </c>
      <c r="C164" s="21" t="s">
        <v>469</v>
      </c>
      <c r="D164" s="27"/>
      <c r="E164" s="27"/>
      <c r="F164" s="27"/>
      <c r="G164" s="20"/>
      <c r="H164" s="27"/>
      <c r="I164" s="27"/>
      <c r="J164" s="27"/>
      <c r="K164" s="21"/>
      <c r="L164" s="27" t="s">
        <v>72</v>
      </c>
      <c r="M164" s="27" t="s">
        <v>523</v>
      </c>
      <c r="N164" s="27"/>
      <c r="O164" s="27" t="s">
        <v>531</v>
      </c>
      <c r="P164" s="27"/>
      <c r="Q164" s="22" t="s">
        <v>774</v>
      </c>
    </row>
    <row r="165" spans="1:17" ht="12">
      <c r="A165" s="19">
        <v>64</v>
      </c>
      <c r="B165" s="24" t="s">
        <v>436</v>
      </c>
      <c r="C165" s="23" t="s">
        <v>469</v>
      </c>
      <c r="D165" s="24"/>
      <c r="E165" s="24"/>
      <c r="F165" s="24"/>
      <c r="G165" s="25"/>
      <c r="H165" s="24"/>
      <c r="I165" s="24"/>
      <c r="J165" s="24"/>
      <c r="K165" s="23"/>
      <c r="L165" s="24" t="s">
        <v>72</v>
      </c>
      <c r="M165" s="24" t="s">
        <v>523</v>
      </c>
      <c r="N165" s="24"/>
      <c r="O165" s="24" t="s">
        <v>531</v>
      </c>
      <c r="P165" s="24"/>
      <c r="Q165" s="26" t="s">
        <v>774</v>
      </c>
    </row>
    <row r="166" spans="1:17" ht="12">
      <c r="A166" s="19">
        <v>65</v>
      </c>
      <c r="B166" s="21" t="s">
        <v>437</v>
      </c>
      <c r="C166" s="21" t="s">
        <v>469</v>
      </c>
      <c r="D166" s="21" t="s">
        <v>777</v>
      </c>
      <c r="E166" s="21" t="s">
        <v>778</v>
      </c>
      <c r="F166" s="21"/>
      <c r="G166" s="30"/>
      <c r="H166" s="27"/>
      <c r="I166" s="27"/>
      <c r="J166" s="27"/>
      <c r="K166" s="21"/>
      <c r="L166" s="27" t="s">
        <v>72</v>
      </c>
      <c r="M166" s="27" t="s">
        <v>523</v>
      </c>
      <c r="N166" s="27"/>
      <c r="O166" s="27" t="s">
        <v>531</v>
      </c>
      <c r="P166" s="27"/>
      <c r="Q166" s="22" t="s">
        <v>774</v>
      </c>
    </row>
    <row r="167" spans="1:17" ht="20.25" customHeight="1">
      <c r="A167" s="19">
        <v>66</v>
      </c>
      <c r="B167" s="23" t="s">
        <v>438</v>
      </c>
      <c r="C167" s="23" t="s">
        <v>469</v>
      </c>
      <c r="D167" s="23" t="s">
        <v>44</v>
      </c>
      <c r="E167" s="23" t="s">
        <v>508</v>
      </c>
      <c r="F167" s="23"/>
      <c r="G167" s="28"/>
      <c r="H167" s="24"/>
      <c r="I167" s="24"/>
      <c r="J167" s="24"/>
      <c r="K167" s="23"/>
      <c r="L167" s="24" t="s">
        <v>72</v>
      </c>
      <c r="M167" s="24" t="s">
        <v>523</v>
      </c>
      <c r="N167" s="24"/>
      <c r="O167" s="24" t="s">
        <v>531</v>
      </c>
      <c r="P167" s="24"/>
      <c r="Q167" s="26" t="s">
        <v>774</v>
      </c>
    </row>
    <row r="168" spans="1:17" ht="12">
      <c r="A168" s="19">
        <v>67</v>
      </c>
      <c r="B168" s="27" t="s">
        <v>439</v>
      </c>
      <c r="C168" s="21" t="s">
        <v>469</v>
      </c>
      <c r="D168" s="27" t="s">
        <v>779</v>
      </c>
      <c r="E168" s="27" t="s">
        <v>780</v>
      </c>
      <c r="F168" s="27"/>
      <c r="G168" s="20"/>
      <c r="H168" s="27" t="s">
        <v>664</v>
      </c>
      <c r="I168" s="27">
        <v>1</v>
      </c>
      <c r="J168" s="27"/>
      <c r="K168" s="21"/>
      <c r="L168" s="27" t="s">
        <v>72</v>
      </c>
      <c r="M168" s="27" t="s">
        <v>523</v>
      </c>
      <c r="N168" s="27"/>
      <c r="O168" s="27" t="s">
        <v>531</v>
      </c>
      <c r="P168" s="27"/>
      <c r="Q168" s="31" t="s">
        <v>774</v>
      </c>
    </row>
    <row r="169" spans="1:17" ht="77.45" customHeight="1">
      <c r="A169" s="19">
        <v>68</v>
      </c>
      <c r="B169" s="24" t="s">
        <v>440</v>
      </c>
      <c r="C169" s="23" t="s">
        <v>469</v>
      </c>
      <c r="D169" s="24" t="s">
        <v>781</v>
      </c>
      <c r="E169" s="24" t="s">
        <v>782</v>
      </c>
      <c r="F169" s="24"/>
      <c r="G169" s="25"/>
      <c r="H169" s="23" t="s">
        <v>783</v>
      </c>
      <c r="I169" s="24"/>
      <c r="J169" s="24"/>
      <c r="K169" s="23"/>
      <c r="L169" s="24" t="s">
        <v>72</v>
      </c>
      <c r="M169" s="24" t="s">
        <v>523</v>
      </c>
      <c r="N169" s="24"/>
      <c r="O169" s="24" t="s">
        <v>531</v>
      </c>
      <c r="P169" s="24"/>
      <c r="Q169" s="32" t="s">
        <v>784</v>
      </c>
    </row>
    <row r="170" spans="1:17" ht="12">
      <c r="A170" s="19">
        <v>69</v>
      </c>
      <c r="B170" s="21" t="s">
        <v>441</v>
      </c>
      <c r="C170" s="21" t="s">
        <v>469</v>
      </c>
      <c r="D170" s="21" t="s">
        <v>785</v>
      </c>
      <c r="E170" s="21" t="s">
        <v>786</v>
      </c>
      <c r="F170" s="21"/>
      <c r="G170" s="30"/>
      <c r="H170" s="27" t="s">
        <v>598</v>
      </c>
      <c r="I170" s="27">
        <v>1</v>
      </c>
      <c r="J170" s="27"/>
      <c r="K170" s="21"/>
      <c r="L170" s="27" t="s">
        <v>72</v>
      </c>
      <c r="M170" s="27" t="s">
        <v>523</v>
      </c>
      <c r="N170" s="27"/>
      <c r="O170" s="27" t="s">
        <v>531</v>
      </c>
      <c r="P170" s="27"/>
      <c r="Q170" s="22" t="s">
        <v>774</v>
      </c>
    </row>
    <row r="171" spans="1:17" ht="22.5" customHeight="1">
      <c r="A171" s="19">
        <v>70</v>
      </c>
      <c r="B171" s="24" t="s">
        <v>442</v>
      </c>
      <c r="C171" s="23" t="s">
        <v>469</v>
      </c>
      <c r="D171" s="24" t="s">
        <v>787</v>
      </c>
      <c r="E171" s="24" t="s">
        <v>788</v>
      </c>
      <c r="F171" s="115"/>
      <c r="G171" s="124" t="s">
        <v>789</v>
      </c>
      <c r="H171" s="23" t="s">
        <v>790</v>
      </c>
      <c r="I171" s="24">
        <v>2</v>
      </c>
      <c r="J171" s="24" t="s">
        <v>791</v>
      </c>
      <c r="K171" s="23" t="s">
        <v>581</v>
      </c>
      <c r="L171" s="24" t="s">
        <v>539</v>
      </c>
      <c r="M171" s="24" t="s">
        <v>53</v>
      </c>
      <c r="N171" s="24"/>
      <c r="O171" s="24" t="s">
        <v>477</v>
      </c>
      <c r="P171" s="24"/>
      <c r="Q171" s="26" t="s">
        <v>792</v>
      </c>
    </row>
    <row r="172" spans="1:17" ht="22.5">
      <c r="A172" s="19">
        <v>71</v>
      </c>
      <c r="B172" s="27" t="s">
        <v>443</v>
      </c>
      <c r="C172" s="27" t="s">
        <v>793</v>
      </c>
      <c r="D172" s="27" t="s">
        <v>794</v>
      </c>
      <c r="E172" s="27"/>
      <c r="F172" s="27" t="s">
        <v>795</v>
      </c>
      <c r="G172" s="27"/>
      <c r="H172" s="21" t="s">
        <v>796</v>
      </c>
      <c r="I172" s="27">
        <v>1</v>
      </c>
      <c r="J172" s="27"/>
      <c r="K172" s="27" t="s">
        <v>797</v>
      </c>
      <c r="L172" s="27" t="s">
        <v>798</v>
      </c>
      <c r="M172" s="27" t="s">
        <v>799</v>
      </c>
      <c r="N172" s="27"/>
      <c r="O172" s="27" t="s">
        <v>531</v>
      </c>
      <c r="P172" s="27"/>
      <c r="Q172" s="36" t="s">
        <v>800</v>
      </c>
    </row>
    <row r="173" spans="1:17" ht="22.5">
      <c r="A173" s="19">
        <v>72</v>
      </c>
      <c r="B173" s="24" t="s">
        <v>444</v>
      </c>
      <c r="C173" s="24" t="s">
        <v>469</v>
      </c>
      <c r="D173" s="24" t="s">
        <v>103</v>
      </c>
      <c r="E173" s="24" t="s">
        <v>801</v>
      </c>
      <c r="F173" s="24" t="s">
        <v>802</v>
      </c>
      <c r="G173" s="25" t="s">
        <v>803</v>
      </c>
      <c r="H173" s="24" t="s">
        <v>804</v>
      </c>
      <c r="I173" s="24">
        <v>1</v>
      </c>
      <c r="J173" s="24" t="s">
        <v>791</v>
      </c>
      <c r="K173" s="23" t="s">
        <v>581</v>
      </c>
      <c r="L173" s="24" t="s">
        <v>539</v>
      </c>
      <c r="M173" s="24" t="s">
        <v>53</v>
      </c>
      <c r="N173" s="24"/>
      <c r="O173" s="24" t="s">
        <v>477</v>
      </c>
      <c r="P173" s="24"/>
      <c r="Q173" s="26" t="s">
        <v>805</v>
      </c>
    </row>
    <row r="174" spans="1:17" ht="22.5">
      <c r="A174" s="19"/>
      <c r="B174" s="24" t="s">
        <v>444</v>
      </c>
      <c r="C174" s="24" t="s">
        <v>469</v>
      </c>
      <c r="D174" s="24" t="s">
        <v>103</v>
      </c>
      <c r="E174" s="24" t="s">
        <v>801</v>
      </c>
      <c r="F174" s="24" t="s">
        <v>802</v>
      </c>
      <c r="G174" s="25" t="s">
        <v>803</v>
      </c>
      <c r="H174" s="24" t="s">
        <v>71</v>
      </c>
      <c r="I174" s="24">
        <v>1</v>
      </c>
      <c r="J174" s="24" t="s">
        <v>479</v>
      </c>
      <c r="K174" s="23" t="s">
        <v>581</v>
      </c>
      <c r="L174" s="24" t="s">
        <v>539</v>
      </c>
      <c r="M174" s="24" t="s">
        <v>53</v>
      </c>
      <c r="N174" s="24"/>
      <c r="O174" s="24" t="s">
        <v>477</v>
      </c>
      <c r="P174" s="24"/>
      <c r="Q174" s="26" t="s">
        <v>806</v>
      </c>
    </row>
    <row r="175" spans="1:17" ht="22.5">
      <c r="A175" s="19"/>
      <c r="B175" s="24" t="s">
        <v>444</v>
      </c>
      <c r="C175" s="24" t="s">
        <v>469</v>
      </c>
      <c r="D175" s="24" t="s">
        <v>103</v>
      </c>
      <c r="E175" s="24" t="s">
        <v>801</v>
      </c>
      <c r="F175" s="24" t="s">
        <v>802</v>
      </c>
      <c r="G175" s="25" t="s">
        <v>803</v>
      </c>
      <c r="H175" s="24" t="s">
        <v>131</v>
      </c>
      <c r="I175" s="24">
        <v>1</v>
      </c>
      <c r="J175" s="24" t="s">
        <v>479</v>
      </c>
      <c r="K175" s="23" t="s">
        <v>581</v>
      </c>
      <c r="L175" s="24" t="s">
        <v>539</v>
      </c>
      <c r="M175" s="24" t="s">
        <v>53</v>
      </c>
      <c r="N175" s="24"/>
      <c r="O175" s="24" t="s">
        <v>477</v>
      </c>
      <c r="P175" s="24"/>
      <c r="Q175" s="26" t="s">
        <v>805</v>
      </c>
    </row>
    <row r="176" spans="1:17" ht="22.5">
      <c r="A176" s="19"/>
      <c r="B176" s="24" t="s">
        <v>444</v>
      </c>
      <c r="C176" s="24" t="s">
        <v>469</v>
      </c>
      <c r="D176" s="24" t="s">
        <v>103</v>
      </c>
      <c r="E176" s="24" t="s">
        <v>801</v>
      </c>
      <c r="F176" s="24" t="s">
        <v>802</v>
      </c>
      <c r="G176" s="25" t="s">
        <v>803</v>
      </c>
      <c r="H176" s="24" t="s">
        <v>580</v>
      </c>
      <c r="I176" s="24">
        <v>2</v>
      </c>
      <c r="J176" s="24" t="s">
        <v>490</v>
      </c>
      <c r="K176" s="23" t="s">
        <v>581</v>
      </c>
      <c r="L176" s="24" t="s">
        <v>539</v>
      </c>
      <c r="M176" s="24" t="s">
        <v>53</v>
      </c>
      <c r="N176" s="24"/>
      <c r="O176" s="24" t="s">
        <v>477</v>
      </c>
      <c r="P176" s="24"/>
      <c r="Q176" s="26" t="s">
        <v>805</v>
      </c>
    </row>
    <row r="177" spans="1:17" ht="12">
      <c r="A177" s="19">
        <v>73</v>
      </c>
      <c r="B177" s="27" t="s">
        <v>445</v>
      </c>
      <c r="C177" s="27" t="s">
        <v>469</v>
      </c>
      <c r="D177" s="27" t="s">
        <v>807</v>
      </c>
      <c r="E177" s="27" t="s">
        <v>808</v>
      </c>
      <c r="F177" s="27" t="s">
        <v>809</v>
      </c>
      <c r="G177" s="20" t="s">
        <v>810</v>
      </c>
      <c r="H177" s="27" t="s">
        <v>131</v>
      </c>
      <c r="I177" s="27">
        <v>1</v>
      </c>
      <c r="J177" s="27"/>
      <c r="K177" s="21" t="s">
        <v>581</v>
      </c>
      <c r="L177" s="27" t="s">
        <v>539</v>
      </c>
      <c r="M177" s="27" t="s">
        <v>53</v>
      </c>
      <c r="N177" s="27"/>
      <c r="O177" s="27" t="s">
        <v>477</v>
      </c>
      <c r="P177" s="36"/>
      <c r="Q177" s="36"/>
    </row>
    <row r="178" spans="1:17" ht="22.5">
      <c r="A178" s="19">
        <v>74</v>
      </c>
      <c r="B178" s="24" t="s">
        <v>446</v>
      </c>
      <c r="C178" s="24" t="s">
        <v>469</v>
      </c>
      <c r="D178" s="24" t="s">
        <v>811</v>
      </c>
      <c r="E178" s="24"/>
      <c r="F178" s="24" t="s">
        <v>812</v>
      </c>
      <c r="G178" s="25" t="s">
        <v>813</v>
      </c>
      <c r="H178" s="24" t="s">
        <v>58</v>
      </c>
      <c r="I178" s="24">
        <v>1</v>
      </c>
      <c r="J178" s="24" t="s">
        <v>479</v>
      </c>
      <c r="K178" s="24" t="s">
        <v>581</v>
      </c>
      <c r="L178" s="24" t="s">
        <v>539</v>
      </c>
      <c r="M178" s="24" t="s">
        <v>53</v>
      </c>
      <c r="N178" s="24"/>
      <c r="O178" s="24" t="s">
        <v>477</v>
      </c>
      <c r="P178" s="24"/>
      <c r="Q178" s="26" t="s">
        <v>814</v>
      </c>
    </row>
    <row r="179" spans="1:17" ht="12">
      <c r="A179" s="19">
        <v>75</v>
      </c>
      <c r="B179" s="27" t="s">
        <v>447</v>
      </c>
      <c r="C179" s="27" t="s">
        <v>469</v>
      </c>
      <c r="D179" s="27" t="s">
        <v>106</v>
      </c>
      <c r="E179" s="27" t="s">
        <v>815</v>
      </c>
      <c r="F179" s="27" t="s">
        <v>816</v>
      </c>
      <c r="G179" s="108" t="s">
        <v>817</v>
      </c>
      <c r="H179" s="27" t="s">
        <v>131</v>
      </c>
      <c r="I179" s="27">
        <v>1</v>
      </c>
      <c r="J179" s="27" t="s">
        <v>479</v>
      </c>
      <c r="K179" s="27" t="s">
        <v>581</v>
      </c>
      <c r="L179" s="27" t="s">
        <v>539</v>
      </c>
      <c r="M179" s="27" t="s">
        <v>53</v>
      </c>
      <c r="N179" s="27"/>
      <c r="O179" s="27" t="s">
        <v>477</v>
      </c>
      <c r="P179" s="27"/>
      <c r="Q179" s="31" t="s">
        <v>818</v>
      </c>
    </row>
    <row r="180" spans="1:17" ht="12">
      <c r="A180" s="19"/>
      <c r="B180" s="27" t="s">
        <v>447</v>
      </c>
      <c r="C180" s="27" t="s">
        <v>469</v>
      </c>
      <c r="D180" s="27" t="s">
        <v>106</v>
      </c>
      <c r="E180" s="27" t="s">
        <v>815</v>
      </c>
      <c r="F180" s="27" t="s">
        <v>816</v>
      </c>
      <c r="G180" s="108" t="s">
        <v>817</v>
      </c>
      <c r="H180" s="27" t="s">
        <v>168</v>
      </c>
      <c r="I180" s="27">
        <v>1</v>
      </c>
      <c r="J180" s="27" t="s">
        <v>500</v>
      </c>
      <c r="K180" s="27" t="s">
        <v>581</v>
      </c>
      <c r="L180" s="27" t="s">
        <v>539</v>
      </c>
      <c r="M180" s="27" t="s">
        <v>53</v>
      </c>
      <c r="N180" s="27"/>
      <c r="O180" s="27" t="s">
        <v>477</v>
      </c>
      <c r="P180" s="27"/>
      <c r="Q180" s="31" t="s">
        <v>818</v>
      </c>
    </row>
    <row r="181" spans="1:17" ht="12">
      <c r="A181" s="19"/>
      <c r="B181" s="27" t="s">
        <v>447</v>
      </c>
      <c r="C181" s="27" t="s">
        <v>469</v>
      </c>
      <c r="D181" s="27" t="s">
        <v>106</v>
      </c>
      <c r="E181" s="27" t="s">
        <v>815</v>
      </c>
      <c r="F181" s="27" t="s">
        <v>816</v>
      </c>
      <c r="G181" s="108" t="s">
        <v>817</v>
      </c>
      <c r="H181" s="27" t="s">
        <v>126</v>
      </c>
      <c r="I181" s="27">
        <v>1</v>
      </c>
      <c r="J181" s="27" t="s">
        <v>500</v>
      </c>
      <c r="K181" s="27" t="s">
        <v>581</v>
      </c>
      <c r="L181" s="27" t="s">
        <v>539</v>
      </c>
      <c r="M181" s="27" t="s">
        <v>53</v>
      </c>
      <c r="N181" s="27"/>
      <c r="O181" s="27" t="s">
        <v>477</v>
      </c>
      <c r="P181" s="27"/>
      <c r="Q181" s="31" t="s">
        <v>819</v>
      </c>
    </row>
    <row r="182" spans="1:17" ht="12">
      <c r="A182" s="19">
        <v>76</v>
      </c>
      <c r="B182" s="24" t="s">
        <v>448</v>
      </c>
      <c r="C182" s="24" t="s">
        <v>469</v>
      </c>
      <c r="D182" s="24" t="s">
        <v>820</v>
      </c>
      <c r="E182" s="24"/>
      <c r="F182" s="24" t="s">
        <v>821</v>
      </c>
      <c r="G182" s="25" t="s">
        <v>822</v>
      </c>
      <c r="H182" s="24" t="s">
        <v>255</v>
      </c>
      <c r="I182" s="24">
        <v>1</v>
      </c>
      <c r="J182" s="24" t="s">
        <v>26</v>
      </c>
      <c r="K182" s="24" t="s">
        <v>581</v>
      </c>
      <c r="L182" s="24" t="s">
        <v>539</v>
      </c>
      <c r="M182" s="24" t="s">
        <v>53</v>
      </c>
      <c r="N182" s="24"/>
      <c r="O182" s="24" t="s">
        <v>477</v>
      </c>
      <c r="P182" s="24"/>
      <c r="Q182" s="32"/>
    </row>
    <row r="183" spans="1:17" ht="12">
      <c r="A183" s="19">
        <v>77</v>
      </c>
      <c r="B183" s="27" t="s">
        <v>449</v>
      </c>
      <c r="C183" s="27" t="s">
        <v>469</v>
      </c>
      <c r="D183" s="27" t="s">
        <v>823</v>
      </c>
      <c r="E183" s="27" t="s">
        <v>824</v>
      </c>
      <c r="F183" s="27"/>
      <c r="G183" s="20"/>
      <c r="H183" s="27" t="s">
        <v>131</v>
      </c>
      <c r="I183" s="27">
        <v>1</v>
      </c>
      <c r="J183" s="27" t="s">
        <v>13</v>
      </c>
      <c r="K183" s="27" t="s">
        <v>581</v>
      </c>
      <c r="L183" s="27" t="s">
        <v>539</v>
      </c>
      <c r="M183" s="27" t="s">
        <v>53</v>
      </c>
      <c r="N183" s="27"/>
      <c r="O183" s="27" t="s">
        <v>477</v>
      </c>
      <c r="P183" s="27"/>
      <c r="Q183" s="31"/>
    </row>
    <row r="184" spans="1:17" ht="12">
      <c r="A184" s="19">
        <v>78</v>
      </c>
      <c r="B184" s="24" t="s">
        <v>450</v>
      </c>
      <c r="C184" s="24" t="s">
        <v>469</v>
      </c>
      <c r="D184" s="24" t="s">
        <v>115</v>
      </c>
      <c r="E184" s="24"/>
      <c r="F184" s="24" t="s">
        <v>825</v>
      </c>
      <c r="G184" s="25" t="s">
        <v>826</v>
      </c>
      <c r="H184" s="24" t="s">
        <v>153</v>
      </c>
      <c r="I184" s="24">
        <v>1</v>
      </c>
      <c r="J184" s="24" t="s">
        <v>26</v>
      </c>
      <c r="K184" s="24" t="s">
        <v>581</v>
      </c>
      <c r="L184" s="24" t="s">
        <v>539</v>
      </c>
      <c r="M184" s="24" t="s">
        <v>53</v>
      </c>
      <c r="N184" s="24"/>
      <c r="O184" s="24" t="s">
        <v>477</v>
      </c>
      <c r="P184" s="24"/>
      <c r="Q184" s="32" t="s">
        <v>827</v>
      </c>
    </row>
    <row r="185" spans="1:17" ht="12">
      <c r="A185" s="19"/>
      <c r="B185" s="24" t="s">
        <v>450</v>
      </c>
      <c r="C185" s="24" t="s">
        <v>469</v>
      </c>
      <c r="D185" s="24" t="s">
        <v>115</v>
      </c>
      <c r="E185" s="24"/>
      <c r="F185" s="24" t="s">
        <v>825</v>
      </c>
      <c r="G185" s="25" t="s">
        <v>826</v>
      </c>
      <c r="H185" s="24" t="s">
        <v>255</v>
      </c>
      <c r="I185" s="24">
        <v>1</v>
      </c>
      <c r="J185" s="24" t="s">
        <v>26</v>
      </c>
      <c r="K185" s="24" t="s">
        <v>581</v>
      </c>
      <c r="L185" s="24" t="s">
        <v>539</v>
      </c>
      <c r="M185" s="24" t="s">
        <v>53</v>
      </c>
      <c r="N185" s="24"/>
      <c r="O185" s="24" t="s">
        <v>477</v>
      </c>
      <c r="P185" s="24"/>
      <c r="Q185" s="32" t="s">
        <v>828</v>
      </c>
    </row>
    <row r="186" spans="1:17" ht="12">
      <c r="A186" s="19"/>
      <c r="B186" s="24" t="s">
        <v>450</v>
      </c>
      <c r="C186" s="24" t="s">
        <v>469</v>
      </c>
      <c r="D186" s="24" t="s">
        <v>115</v>
      </c>
      <c r="E186" s="24"/>
      <c r="F186" s="24" t="s">
        <v>825</v>
      </c>
      <c r="G186" s="25" t="s">
        <v>826</v>
      </c>
      <c r="H186" s="24" t="s">
        <v>131</v>
      </c>
      <c r="I186" s="24">
        <v>1</v>
      </c>
      <c r="J186" s="24" t="s">
        <v>26</v>
      </c>
      <c r="K186" s="24" t="s">
        <v>581</v>
      </c>
      <c r="L186" s="24" t="s">
        <v>539</v>
      </c>
      <c r="M186" s="24" t="s">
        <v>53</v>
      </c>
      <c r="N186" s="24"/>
      <c r="O186" s="24" t="s">
        <v>477</v>
      </c>
      <c r="P186" s="24"/>
      <c r="Q186" s="32" t="s">
        <v>828</v>
      </c>
    </row>
  </sheetData>
  <autoFilter ref="A2:Q177" xr:uid="{00000000-0001-0000-0000-000000000000}"/>
  <mergeCells count="15">
    <mergeCell ref="N45:N50"/>
    <mergeCell ref="N51:N54"/>
    <mergeCell ref="N56:N59"/>
    <mergeCell ref="N60:N62"/>
    <mergeCell ref="N74:N81"/>
    <mergeCell ref="N13:N14"/>
    <mergeCell ref="N27:N34"/>
    <mergeCell ref="N36:N38"/>
    <mergeCell ref="N40:N42"/>
    <mergeCell ref="N43:N44"/>
    <mergeCell ref="A1:K1"/>
    <mergeCell ref="L1:P1"/>
    <mergeCell ref="N3:N4"/>
    <mergeCell ref="N6:N7"/>
    <mergeCell ref="N11:N12"/>
  </mergeCells>
  <phoneticPr fontId="11" type="noConversion"/>
  <hyperlinks>
    <hyperlink ref="G171" r:id="rId1" xr:uid="{7C5F1910-82DF-4602-9D64-7965CAE1ED55}"/>
  </hyperlinks>
  <printOptions verticalCentered="1"/>
  <pageMargins left="0.7086111307144165" right="0.7086111307144165" top="0.74750000238418579" bottom="0.74750000238418579" header="0.31486111879348755" footer="0.31486111879348755"/>
  <pageSetup paperSize="9" scale="64" orientation="landscape" horizontalDpi="300" verticalDpi="300"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R46"/>
  <sheetViews>
    <sheetView zoomScaleNormal="100" zoomScaleSheetLayoutView="75" workbookViewId="0">
      <selection activeCell="A19" sqref="A19:R19"/>
    </sheetView>
  </sheetViews>
  <sheetFormatPr defaultColWidth="8.5" defaultRowHeight="16.5"/>
  <cols>
    <col min="1" max="1" width="3.5" bestFit="1" customWidth="1"/>
    <col min="2" max="2" width="24" bestFit="1" customWidth="1"/>
    <col min="3" max="3" width="5.875" bestFit="1" customWidth="1"/>
    <col min="4" max="4" width="11.5" bestFit="1" customWidth="1"/>
    <col min="5" max="5" width="4" bestFit="1" customWidth="1"/>
    <col min="6" max="6" width="28" customWidth="1"/>
    <col min="7" max="15" width="3.5" bestFit="1" customWidth="1"/>
    <col min="16" max="17" width="4.375" bestFit="1" customWidth="1"/>
    <col min="18" max="18" width="3.5" customWidth="1"/>
  </cols>
  <sheetData>
    <row r="1" spans="1:18" ht="27">
      <c r="A1" s="401" t="s">
        <v>829</v>
      </c>
      <c r="B1" s="401"/>
      <c r="C1" s="401"/>
      <c r="D1" s="401"/>
      <c r="E1" s="401"/>
      <c r="F1" s="401"/>
      <c r="G1" s="401" t="s">
        <v>830</v>
      </c>
      <c r="H1" s="401"/>
      <c r="I1" s="401"/>
      <c r="J1" s="401"/>
      <c r="K1" s="401"/>
      <c r="L1" s="401"/>
      <c r="M1" s="401"/>
      <c r="N1" s="401"/>
      <c r="O1" s="401"/>
      <c r="P1" s="401"/>
      <c r="Q1" s="401"/>
      <c r="R1" s="401"/>
    </row>
    <row r="2" spans="1:18">
      <c r="A2" s="8" t="s">
        <v>453</v>
      </c>
      <c r="B2" s="8" t="s">
        <v>831</v>
      </c>
      <c r="C2" s="8" t="s">
        <v>456</v>
      </c>
      <c r="D2" s="8" t="s">
        <v>832</v>
      </c>
      <c r="E2" s="8" t="s">
        <v>833</v>
      </c>
      <c r="F2" s="8" t="s">
        <v>834</v>
      </c>
      <c r="G2" s="393" t="s">
        <v>835</v>
      </c>
      <c r="H2" s="394"/>
      <c r="I2" s="394"/>
      <c r="J2" s="394"/>
      <c r="K2" s="394"/>
      <c r="L2" s="394"/>
      <c r="M2" s="394"/>
      <c r="N2" s="394"/>
      <c r="O2" s="394"/>
      <c r="P2" s="394"/>
      <c r="Q2" s="394"/>
      <c r="R2" s="395"/>
    </row>
    <row r="3" spans="1:18" ht="25.5" customHeight="1">
      <c r="A3" s="9">
        <v>1</v>
      </c>
      <c r="B3" s="9" t="s">
        <v>836</v>
      </c>
      <c r="C3" s="9" t="s">
        <v>837</v>
      </c>
      <c r="D3" s="9" t="s">
        <v>838</v>
      </c>
      <c r="E3" s="10" t="s">
        <v>839</v>
      </c>
      <c r="F3" s="10" t="s">
        <v>840</v>
      </c>
      <c r="G3" s="390"/>
      <c r="H3" s="391"/>
      <c r="I3" s="391"/>
      <c r="J3" s="391"/>
      <c r="K3" s="391"/>
      <c r="L3" s="391"/>
      <c r="M3" s="391"/>
      <c r="N3" s="391"/>
      <c r="O3" s="391"/>
      <c r="P3" s="391"/>
      <c r="Q3" s="391"/>
      <c r="R3" s="392"/>
    </row>
    <row r="4" spans="1:18" ht="25.5" customHeight="1">
      <c r="A4" s="9">
        <v>2</v>
      </c>
      <c r="B4" s="10" t="s">
        <v>841</v>
      </c>
      <c r="C4" s="9" t="s">
        <v>842</v>
      </c>
      <c r="D4" s="9" t="s">
        <v>843</v>
      </c>
      <c r="E4" s="10" t="s">
        <v>839</v>
      </c>
      <c r="F4" s="10" t="s">
        <v>844</v>
      </c>
      <c r="G4" s="390"/>
      <c r="H4" s="391"/>
      <c r="I4" s="391"/>
      <c r="J4" s="391"/>
      <c r="K4" s="391"/>
      <c r="L4" s="391"/>
      <c r="M4" s="391"/>
      <c r="N4" s="391"/>
      <c r="O4" s="391"/>
      <c r="P4" s="391"/>
      <c r="Q4" s="391"/>
      <c r="R4" s="392"/>
    </row>
    <row r="5" spans="1:18" ht="22.5" customHeight="1">
      <c r="A5" s="9">
        <v>3</v>
      </c>
      <c r="B5" s="10" t="s">
        <v>426</v>
      </c>
      <c r="C5" s="9" t="s">
        <v>756</v>
      </c>
      <c r="D5" s="9" t="s">
        <v>757</v>
      </c>
      <c r="E5" s="10" t="s">
        <v>839</v>
      </c>
      <c r="F5" s="10" t="s">
        <v>845</v>
      </c>
      <c r="G5" s="390"/>
      <c r="H5" s="391"/>
      <c r="I5" s="391"/>
      <c r="J5" s="391"/>
      <c r="K5" s="391"/>
      <c r="L5" s="391"/>
      <c r="M5" s="391"/>
      <c r="N5" s="391"/>
      <c r="O5" s="391"/>
      <c r="P5" s="391"/>
      <c r="Q5" s="391"/>
      <c r="R5" s="392"/>
    </row>
    <row r="6" spans="1:18">
      <c r="A6" s="9">
        <v>4</v>
      </c>
      <c r="B6" s="9" t="s">
        <v>374</v>
      </c>
      <c r="C6" s="9" t="s">
        <v>846</v>
      </c>
      <c r="D6" s="9" t="s">
        <v>847</v>
      </c>
      <c r="E6" s="10" t="s">
        <v>839</v>
      </c>
      <c r="F6" s="10" t="s">
        <v>848</v>
      </c>
      <c r="G6" s="390"/>
      <c r="H6" s="391"/>
      <c r="I6" s="391"/>
      <c r="J6" s="391"/>
      <c r="K6" s="391"/>
      <c r="L6" s="391"/>
      <c r="M6" s="391"/>
      <c r="N6" s="391"/>
      <c r="O6" s="391"/>
      <c r="P6" s="391"/>
      <c r="Q6" s="391"/>
      <c r="R6" s="392"/>
    </row>
    <row r="7" spans="1:18">
      <c r="A7" s="9">
        <v>5</v>
      </c>
      <c r="B7" s="10" t="s">
        <v>375</v>
      </c>
      <c r="C7" s="9" t="s">
        <v>849</v>
      </c>
      <c r="D7" s="9" t="s">
        <v>850</v>
      </c>
      <c r="E7" s="10" t="s">
        <v>839</v>
      </c>
      <c r="F7" s="10" t="s">
        <v>851</v>
      </c>
      <c r="G7" s="390"/>
      <c r="H7" s="391"/>
      <c r="I7" s="391"/>
      <c r="J7" s="391"/>
      <c r="K7" s="391"/>
      <c r="L7" s="391"/>
      <c r="M7" s="391"/>
      <c r="N7" s="391"/>
      <c r="O7" s="391"/>
      <c r="P7" s="391"/>
      <c r="Q7" s="391"/>
      <c r="R7" s="392"/>
    </row>
    <row r="8" spans="1:18">
      <c r="A8" s="9">
        <v>6</v>
      </c>
      <c r="B8" s="10" t="s">
        <v>376</v>
      </c>
      <c r="C8" s="9" t="s">
        <v>852</v>
      </c>
      <c r="D8" s="9" t="s">
        <v>853</v>
      </c>
      <c r="E8" s="10" t="s">
        <v>839</v>
      </c>
      <c r="F8" s="10" t="s">
        <v>848</v>
      </c>
      <c r="G8" s="390"/>
      <c r="H8" s="391"/>
      <c r="I8" s="391"/>
      <c r="J8" s="391"/>
      <c r="K8" s="391"/>
      <c r="L8" s="391"/>
      <c r="M8" s="391"/>
      <c r="N8" s="391"/>
      <c r="O8" s="391"/>
      <c r="P8" s="391"/>
      <c r="Q8" s="391"/>
      <c r="R8" s="392"/>
    </row>
    <row r="9" spans="1:18">
      <c r="A9" s="9" t="s">
        <v>854</v>
      </c>
      <c r="B9" s="9" t="s">
        <v>378</v>
      </c>
      <c r="C9" s="9" t="s">
        <v>855</v>
      </c>
      <c r="D9" s="9" t="s">
        <v>856</v>
      </c>
      <c r="E9" s="10" t="s">
        <v>857</v>
      </c>
      <c r="F9" s="10" t="s">
        <v>504</v>
      </c>
      <c r="G9" s="390"/>
      <c r="H9" s="391"/>
      <c r="I9" s="391"/>
      <c r="J9" s="391"/>
      <c r="K9" s="391"/>
      <c r="L9" s="391"/>
      <c r="M9" s="391"/>
      <c r="N9" s="391"/>
      <c r="O9" s="391"/>
      <c r="P9" s="391"/>
      <c r="Q9" s="391"/>
      <c r="R9" s="392"/>
    </row>
    <row r="10" spans="1:18">
      <c r="A10" s="4"/>
      <c r="B10" s="4"/>
      <c r="C10" s="4"/>
      <c r="D10" s="4"/>
      <c r="E10" s="6"/>
      <c r="F10" s="6"/>
      <c r="G10" s="4"/>
      <c r="H10" s="4"/>
      <c r="I10" s="4"/>
      <c r="J10" s="4"/>
      <c r="K10" s="4"/>
      <c r="L10" s="4"/>
      <c r="M10" s="4"/>
      <c r="N10" s="4"/>
      <c r="O10" s="4"/>
      <c r="P10" s="4"/>
      <c r="Q10" s="4"/>
      <c r="R10" s="4"/>
    </row>
    <row r="11" spans="1:18">
      <c r="A11" s="7" t="s">
        <v>453</v>
      </c>
      <c r="B11" s="7" t="s">
        <v>858</v>
      </c>
      <c r="C11" s="7" t="s">
        <v>456</v>
      </c>
      <c r="D11" s="7" t="s">
        <v>832</v>
      </c>
      <c r="E11" s="7" t="s">
        <v>833</v>
      </c>
      <c r="F11" s="7" t="s">
        <v>834</v>
      </c>
      <c r="G11" s="393" t="s">
        <v>835</v>
      </c>
      <c r="H11" s="394"/>
      <c r="I11" s="394"/>
      <c r="J11" s="394"/>
      <c r="K11" s="394"/>
      <c r="L11" s="394"/>
      <c r="M11" s="394"/>
      <c r="N11" s="394"/>
      <c r="O11" s="394"/>
      <c r="P11" s="394"/>
      <c r="Q11" s="394"/>
      <c r="R11" s="395"/>
    </row>
    <row r="12" spans="1:18" ht="22.5" customHeight="1">
      <c r="A12" s="9">
        <v>1</v>
      </c>
      <c r="B12" s="9" t="s">
        <v>440</v>
      </c>
      <c r="C12" s="9" t="s">
        <v>781</v>
      </c>
      <c r="D12" s="9" t="s">
        <v>782</v>
      </c>
      <c r="E12" s="10" t="s">
        <v>839</v>
      </c>
      <c r="F12" s="10" t="s">
        <v>859</v>
      </c>
      <c r="G12" s="390"/>
      <c r="H12" s="391"/>
      <c r="I12" s="391"/>
      <c r="J12" s="391"/>
      <c r="K12" s="391"/>
      <c r="L12" s="391"/>
      <c r="M12" s="391"/>
      <c r="N12" s="391"/>
      <c r="O12" s="391"/>
      <c r="P12" s="391"/>
      <c r="Q12" s="391"/>
      <c r="R12" s="392"/>
    </row>
    <row r="13" spans="1:18">
      <c r="A13" s="9">
        <v>2</v>
      </c>
      <c r="B13" s="9" t="s">
        <v>860</v>
      </c>
      <c r="C13" s="9" t="s">
        <v>861</v>
      </c>
      <c r="D13" s="9" t="s">
        <v>862</v>
      </c>
      <c r="E13" s="10" t="s">
        <v>839</v>
      </c>
      <c r="F13" s="10" t="s">
        <v>863</v>
      </c>
      <c r="G13" s="390"/>
      <c r="H13" s="391"/>
      <c r="I13" s="391"/>
      <c r="J13" s="391"/>
      <c r="K13" s="391"/>
      <c r="L13" s="391"/>
      <c r="M13" s="391"/>
      <c r="N13" s="391"/>
      <c r="O13" s="391"/>
      <c r="P13" s="391"/>
      <c r="Q13" s="391"/>
      <c r="R13" s="392"/>
    </row>
    <row r="14" spans="1:18">
      <c r="A14" s="9">
        <v>3</v>
      </c>
      <c r="B14" s="10" t="s">
        <v>864</v>
      </c>
      <c r="C14" s="9" t="s">
        <v>865</v>
      </c>
      <c r="D14" s="9" t="s">
        <v>866</v>
      </c>
      <c r="E14" s="10" t="s">
        <v>839</v>
      </c>
      <c r="F14" s="10" t="s">
        <v>867</v>
      </c>
      <c r="G14" s="390"/>
      <c r="H14" s="391"/>
      <c r="I14" s="391"/>
      <c r="J14" s="391"/>
      <c r="K14" s="391"/>
      <c r="L14" s="391"/>
      <c r="M14" s="391"/>
      <c r="N14" s="391"/>
      <c r="O14" s="391"/>
      <c r="P14" s="391"/>
      <c r="Q14" s="391"/>
      <c r="R14" s="392"/>
    </row>
    <row r="15" spans="1:18">
      <c r="A15" s="9">
        <v>4</v>
      </c>
      <c r="B15" s="10" t="s">
        <v>868</v>
      </c>
      <c r="C15" s="9" t="s">
        <v>517</v>
      </c>
      <c r="D15" s="9" t="s">
        <v>869</v>
      </c>
      <c r="E15" s="10" t="s">
        <v>839</v>
      </c>
      <c r="F15" s="10" t="s">
        <v>870</v>
      </c>
      <c r="G15" s="390"/>
      <c r="H15" s="391"/>
      <c r="I15" s="391"/>
      <c r="J15" s="391"/>
      <c r="K15" s="391"/>
      <c r="L15" s="391"/>
      <c r="M15" s="391"/>
      <c r="N15" s="391"/>
      <c r="O15" s="391"/>
      <c r="P15" s="391"/>
      <c r="Q15" s="391"/>
      <c r="R15" s="392"/>
    </row>
    <row r="16" spans="1:18">
      <c r="A16" s="402"/>
      <c r="B16" s="402"/>
      <c r="C16" s="402"/>
      <c r="D16" s="402"/>
      <c r="E16" s="402"/>
      <c r="F16" s="402"/>
      <c r="G16" s="402"/>
      <c r="H16" s="402"/>
      <c r="I16" s="402"/>
      <c r="J16" s="402"/>
      <c r="K16" s="402"/>
      <c r="L16" s="402"/>
      <c r="M16" s="402"/>
      <c r="N16" s="402"/>
      <c r="O16" s="402"/>
      <c r="P16" s="402"/>
      <c r="Q16" s="402"/>
      <c r="R16" s="402"/>
    </row>
    <row r="17" spans="1:18">
      <c r="A17" s="7" t="s">
        <v>453</v>
      </c>
      <c r="B17" s="7" t="s">
        <v>871</v>
      </c>
      <c r="C17" s="7" t="s">
        <v>456</v>
      </c>
      <c r="D17" s="7" t="s">
        <v>832</v>
      </c>
      <c r="E17" s="7" t="s">
        <v>833</v>
      </c>
      <c r="F17" s="7" t="s">
        <v>834</v>
      </c>
      <c r="G17" s="393" t="s">
        <v>835</v>
      </c>
      <c r="H17" s="394"/>
      <c r="I17" s="394"/>
      <c r="J17" s="394"/>
      <c r="K17" s="394"/>
      <c r="L17" s="394"/>
      <c r="M17" s="394"/>
      <c r="N17" s="394"/>
      <c r="O17" s="394"/>
      <c r="P17" s="394"/>
      <c r="Q17" s="394"/>
      <c r="R17" s="395"/>
    </row>
    <row r="18" spans="1:18">
      <c r="A18" s="9">
        <v>1</v>
      </c>
      <c r="B18" s="9" t="s">
        <v>381</v>
      </c>
      <c r="C18" s="9" t="s">
        <v>872</v>
      </c>
      <c r="D18" s="9" t="s">
        <v>873</v>
      </c>
      <c r="E18" s="10" t="s">
        <v>874</v>
      </c>
      <c r="F18" s="10" t="s">
        <v>875</v>
      </c>
      <c r="G18" s="390"/>
      <c r="H18" s="391"/>
      <c r="I18" s="391"/>
      <c r="J18" s="391"/>
      <c r="K18" s="391"/>
      <c r="L18" s="391"/>
      <c r="M18" s="391"/>
      <c r="N18" s="391"/>
      <c r="O18" s="391"/>
      <c r="P18" s="391"/>
      <c r="Q18" s="391"/>
      <c r="R18" s="392"/>
    </row>
    <row r="19" spans="1:18">
      <c r="A19" s="402"/>
      <c r="B19" s="402"/>
      <c r="C19" s="402"/>
      <c r="D19" s="402"/>
      <c r="E19" s="402"/>
      <c r="F19" s="402"/>
      <c r="G19" s="402"/>
      <c r="H19" s="402"/>
      <c r="I19" s="402"/>
      <c r="J19" s="402"/>
      <c r="K19" s="402"/>
      <c r="L19" s="402"/>
      <c r="M19" s="402"/>
      <c r="N19" s="402"/>
      <c r="O19" s="402"/>
      <c r="P19" s="402"/>
      <c r="Q19" s="402"/>
      <c r="R19" s="402"/>
    </row>
    <row r="20" spans="1:18">
      <c r="A20" s="7" t="s">
        <v>453</v>
      </c>
      <c r="B20" s="7" t="s">
        <v>876</v>
      </c>
      <c r="C20" s="7" t="s">
        <v>456</v>
      </c>
      <c r="D20" s="7" t="s">
        <v>832</v>
      </c>
      <c r="E20" s="7" t="s">
        <v>833</v>
      </c>
      <c r="F20" s="7" t="s">
        <v>834</v>
      </c>
      <c r="G20" s="393" t="s">
        <v>835</v>
      </c>
      <c r="H20" s="394"/>
      <c r="I20" s="394"/>
      <c r="J20" s="394"/>
      <c r="K20" s="394"/>
      <c r="L20" s="394"/>
      <c r="M20" s="394"/>
      <c r="N20" s="394"/>
      <c r="O20" s="394"/>
      <c r="P20" s="394"/>
      <c r="Q20" s="394"/>
      <c r="R20" s="395"/>
    </row>
    <row r="21" spans="1:18">
      <c r="A21" s="9">
        <v>1</v>
      </c>
      <c r="B21" s="10" t="s">
        <v>382</v>
      </c>
      <c r="C21" s="9" t="s">
        <v>542</v>
      </c>
      <c r="D21" s="9" t="s">
        <v>877</v>
      </c>
      <c r="E21" s="10" t="s">
        <v>839</v>
      </c>
      <c r="F21" s="10" t="s">
        <v>878</v>
      </c>
      <c r="G21" s="403"/>
      <c r="H21" s="391"/>
      <c r="I21" s="391"/>
      <c r="J21" s="391"/>
      <c r="K21" s="391"/>
      <c r="L21" s="391"/>
      <c r="M21" s="391"/>
      <c r="N21" s="391"/>
      <c r="O21" s="391"/>
      <c r="P21" s="391"/>
      <c r="Q21" s="391"/>
      <c r="R21" s="392"/>
    </row>
    <row r="22" spans="1:18" ht="22.5" customHeight="1">
      <c r="A22" s="9">
        <v>2</v>
      </c>
      <c r="B22" s="9" t="s">
        <v>548</v>
      </c>
      <c r="C22" s="9" t="s">
        <v>549</v>
      </c>
      <c r="D22" s="9" t="s">
        <v>879</v>
      </c>
      <c r="E22" s="10" t="s">
        <v>880</v>
      </c>
      <c r="F22" s="10" t="s">
        <v>881</v>
      </c>
      <c r="G22" s="400"/>
      <c r="H22" s="400"/>
      <c r="I22" s="400"/>
      <c r="J22" s="400"/>
      <c r="K22" s="400"/>
      <c r="L22" s="400"/>
      <c r="M22" s="400"/>
      <c r="N22" s="400"/>
      <c r="O22" s="400"/>
      <c r="P22" s="400"/>
      <c r="Q22" s="400"/>
      <c r="R22" s="400"/>
    </row>
    <row r="23" spans="1:18">
      <c r="A23" s="9">
        <v>3</v>
      </c>
      <c r="B23" s="9" t="s">
        <v>423</v>
      </c>
      <c r="C23" s="9" t="s">
        <v>882</v>
      </c>
      <c r="D23" s="9" t="s">
        <v>746</v>
      </c>
      <c r="E23" s="10" t="s">
        <v>839</v>
      </c>
      <c r="F23" s="10" t="s">
        <v>883</v>
      </c>
      <c r="G23" s="400"/>
      <c r="H23" s="400"/>
      <c r="I23" s="400"/>
      <c r="J23" s="400"/>
      <c r="K23" s="400"/>
      <c r="L23" s="400"/>
      <c r="M23" s="400"/>
      <c r="N23" s="400"/>
      <c r="O23" s="400"/>
      <c r="P23" s="400"/>
      <c r="Q23" s="400"/>
      <c r="R23" s="400"/>
    </row>
    <row r="24" spans="1:18">
      <c r="A24" s="359" t="s">
        <v>854</v>
      </c>
      <c r="B24" s="9" t="s">
        <v>388</v>
      </c>
      <c r="C24" s="9"/>
      <c r="D24" s="9"/>
      <c r="E24" s="10" t="s">
        <v>857</v>
      </c>
      <c r="F24" s="10" t="s">
        <v>884</v>
      </c>
      <c r="G24" s="390"/>
      <c r="H24" s="391"/>
      <c r="I24" s="391"/>
      <c r="J24" s="391"/>
      <c r="K24" s="391"/>
      <c r="L24" s="391"/>
      <c r="M24" s="391"/>
      <c r="N24" s="391"/>
      <c r="O24" s="391"/>
      <c r="P24" s="391"/>
      <c r="Q24" s="391"/>
      <c r="R24" s="392"/>
    </row>
    <row r="25" spans="1:18">
      <c r="A25" s="402"/>
      <c r="B25" s="402"/>
      <c r="C25" s="402"/>
      <c r="D25" s="402"/>
      <c r="E25" s="402"/>
      <c r="F25" s="402"/>
      <c r="G25" s="402"/>
      <c r="H25" s="402"/>
      <c r="I25" s="402"/>
      <c r="J25" s="402"/>
      <c r="K25" s="402"/>
      <c r="L25" s="402"/>
      <c r="M25" s="402"/>
      <c r="N25" s="402"/>
      <c r="O25" s="402"/>
      <c r="P25" s="402"/>
      <c r="Q25" s="402"/>
      <c r="R25" s="402"/>
    </row>
    <row r="26" spans="1:18">
      <c r="A26" s="7" t="s">
        <v>453</v>
      </c>
      <c r="B26" s="7" t="s">
        <v>885</v>
      </c>
      <c r="C26" s="7" t="s">
        <v>456</v>
      </c>
      <c r="D26" s="7" t="s">
        <v>832</v>
      </c>
      <c r="E26" s="7" t="s">
        <v>833</v>
      </c>
      <c r="F26" s="7" t="s">
        <v>834</v>
      </c>
      <c r="G26" s="393" t="s">
        <v>835</v>
      </c>
      <c r="H26" s="394"/>
      <c r="I26" s="394"/>
      <c r="J26" s="394"/>
      <c r="K26" s="394"/>
      <c r="L26" s="394"/>
      <c r="M26" s="394"/>
      <c r="N26" s="394"/>
      <c r="O26" s="394"/>
      <c r="P26" s="394"/>
      <c r="Q26" s="394"/>
      <c r="R26" s="395"/>
    </row>
    <row r="27" spans="1:18" ht="33.75" customHeight="1">
      <c r="A27" s="9">
        <v>1</v>
      </c>
      <c r="B27" s="10" t="s">
        <v>886</v>
      </c>
      <c r="C27" s="9" t="s">
        <v>887</v>
      </c>
      <c r="D27" s="9" t="s">
        <v>888</v>
      </c>
      <c r="E27" s="10" t="s">
        <v>839</v>
      </c>
      <c r="F27" s="10" t="s">
        <v>889</v>
      </c>
      <c r="G27" s="390"/>
      <c r="H27" s="391"/>
      <c r="I27" s="391"/>
      <c r="J27" s="391"/>
      <c r="K27" s="391"/>
      <c r="L27" s="391"/>
      <c r="M27" s="391"/>
      <c r="N27" s="391"/>
      <c r="O27" s="391"/>
      <c r="P27" s="391"/>
      <c r="Q27" s="391"/>
      <c r="R27" s="392"/>
    </row>
    <row r="28" spans="1:18">
      <c r="A28" s="9">
        <v>2</v>
      </c>
      <c r="B28" s="9" t="s">
        <v>387</v>
      </c>
      <c r="C28" s="9" t="s">
        <v>890</v>
      </c>
      <c r="D28" s="9" t="s">
        <v>583</v>
      </c>
      <c r="E28" s="10" t="s">
        <v>880</v>
      </c>
      <c r="F28" s="10" t="s">
        <v>891</v>
      </c>
      <c r="G28" s="390"/>
      <c r="H28" s="391"/>
      <c r="I28" s="391"/>
      <c r="J28" s="391"/>
      <c r="K28" s="391"/>
      <c r="L28" s="391"/>
      <c r="M28" s="391"/>
      <c r="N28" s="391"/>
      <c r="O28" s="391"/>
      <c r="P28" s="391"/>
      <c r="Q28" s="391"/>
      <c r="R28" s="392"/>
    </row>
    <row r="29" spans="1:18">
      <c r="A29" s="9">
        <v>3</v>
      </c>
      <c r="B29" s="9" t="s">
        <v>389</v>
      </c>
      <c r="C29" s="9" t="s">
        <v>892</v>
      </c>
      <c r="D29" s="9" t="s">
        <v>893</v>
      </c>
      <c r="E29" s="10" t="s">
        <v>839</v>
      </c>
      <c r="F29" s="10" t="s">
        <v>894</v>
      </c>
      <c r="G29" s="390"/>
      <c r="H29" s="391"/>
      <c r="I29" s="391"/>
      <c r="J29" s="391"/>
      <c r="K29" s="391"/>
      <c r="L29" s="391"/>
      <c r="M29" s="391"/>
      <c r="N29" s="391"/>
      <c r="O29" s="391"/>
      <c r="P29" s="391"/>
      <c r="Q29" s="391"/>
      <c r="R29" s="392"/>
    </row>
    <row r="30" spans="1:18">
      <c r="A30" s="9">
        <v>4</v>
      </c>
      <c r="B30" s="9" t="s">
        <v>390</v>
      </c>
      <c r="C30" s="9" t="s">
        <v>895</v>
      </c>
      <c r="D30" s="9" t="s">
        <v>896</v>
      </c>
      <c r="E30" s="10" t="s">
        <v>839</v>
      </c>
      <c r="F30" s="10" t="s">
        <v>897</v>
      </c>
      <c r="G30" s="390"/>
      <c r="H30" s="391"/>
      <c r="I30" s="391"/>
      <c r="J30" s="391"/>
      <c r="K30" s="391"/>
      <c r="L30" s="391"/>
      <c r="M30" s="391"/>
      <c r="N30" s="391"/>
      <c r="O30" s="391"/>
      <c r="P30" s="391"/>
      <c r="Q30" s="391"/>
      <c r="R30" s="392"/>
    </row>
    <row r="31" spans="1:18">
      <c r="A31" s="9">
        <v>5</v>
      </c>
      <c r="B31" s="9" t="s">
        <v>898</v>
      </c>
      <c r="C31" s="9" t="s">
        <v>899</v>
      </c>
      <c r="D31" s="9" t="s">
        <v>900</v>
      </c>
      <c r="E31" s="10" t="s">
        <v>839</v>
      </c>
      <c r="F31" s="10" t="s">
        <v>897</v>
      </c>
      <c r="G31" s="390" t="s">
        <v>901</v>
      </c>
      <c r="H31" s="391"/>
      <c r="I31" s="391"/>
      <c r="J31" s="391"/>
      <c r="K31" s="391"/>
      <c r="L31" s="391"/>
      <c r="M31" s="391"/>
      <c r="N31" s="391"/>
      <c r="O31" s="391"/>
      <c r="P31" s="391"/>
      <c r="Q31" s="391"/>
      <c r="R31" s="392"/>
    </row>
    <row r="32" spans="1:18" ht="33.75" customHeight="1">
      <c r="A32" s="9">
        <v>6</v>
      </c>
      <c r="B32" s="9" t="s">
        <v>902</v>
      </c>
      <c r="C32" s="9" t="s">
        <v>903</v>
      </c>
      <c r="D32" s="9" t="s">
        <v>904</v>
      </c>
      <c r="E32" s="10" t="s">
        <v>880</v>
      </c>
      <c r="F32" s="10" t="s">
        <v>905</v>
      </c>
      <c r="G32" s="390"/>
      <c r="H32" s="391"/>
      <c r="I32" s="391"/>
      <c r="J32" s="391"/>
      <c r="K32" s="391"/>
      <c r="L32" s="391"/>
      <c r="M32" s="391"/>
      <c r="N32" s="391"/>
      <c r="O32" s="391"/>
      <c r="P32" s="391"/>
      <c r="Q32" s="391"/>
      <c r="R32" s="392"/>
    </row>
    <row r="33" spans="1:18" ht="23.25" customHeight="1">
      <c r="A33" s="359" t="s">
        <v>854</v>
      </c>
      <c r="B33" s="9" t="s">
        <v>394</v>
      </c>
      <c r="C33" s="9" t="s">
        <v>906</v>
      </c>
      <c r="D33" s="9" t="s">
        <v>610</v>
      </c>
      <c r="E33" s="9" t="s">
        <v>857</v>
      </c>
      <c r="F33" s="9" t="s">
        <v>907</v>
      </c>
      <c r="G33" s="400"/>
      <c r="H33" s="400"/>
      <c r="I33" s="400"/>
      <c r="J33" s="400"/>
      <c r="K33" s="400"/>
      <c r="L33" s="400"/>
      <c r="M33" s="400"/>
      <c r="N33" s="400"/>
      <c r="O33" s="400"/>
      <c r="P33" s="400"/>
      <c r="Q33" s="400"/>
      <c r="R33" s="400"/>
    </row>
    <row r="34" spans="1:18" ht="23.25" customHeight="1">
      <c r="A34" s="9" t="s">
        <v>854</v>
      </c>
      <c r="B34" s="358" t="s">
        <v>393</v>
      </c>
      <c r="C34" s="358" t="s">
        <v>908</v>
      </c>
      <c r="D34" s="358" t="s">
        <v>909</v>
      </c>
      <c r="E34" s="9" t="s">
        <v>857</v>
      </c>
      <c r="F34" s="358" t="s">
        <v>910</v>
      </c>
      <c r="G34" s="400"/>
      <c r="H34" s="400"/>
      <c r="I34" s="400"/>
      <c r="J34" s="400"/>
      <c r="K34" s="400"/>
      <c r="L34" s="400"/>
      <c r="M34" s="400"/>
      <c r="N34" s="400"/>
      <c r="O34" s="400"/>
      <c r="P34" s="400"/>
      <c r="Q34" s="400"/>
      <c r="R34" s="400"/>
    </row>
    <row r="35" spans="1:18">
      <c r="A35" s="402"/>
      <c r="B35" s="402"/>
      <c r="C35" s="402"/>
      <c r="D35" s="402"/>
      <c r="E35" s="402"/>
      <c r="F35" s="402"/>
      <c r="G35" s="402"/>
      <c r="H35" s="402"/>
      <c r="I35" s="402"/>
      <c r="J35" s="402"/>
      <c r="K35" s="402"/>
      <c r="L35" s="402"/>
      <c r="M35" s="402"/>
      <c r="N35" s="402"/>
      <c r="O35" s="402"/>
      <c r="P35" s="402"/>
      <c r="Q35" s="402"/>
      <c r="R35" s="402"/>
    </row>
    <row r="36" spans="1:18">
      <c r="A36" s="7" t="s">
        <v>453</v>
      </c>
      <c r="B36" s="7" t="s">
        <v>911</v>
      </c>
      <c r="C36" s="7" t="s">
        <v>456</v>
      </c>
      <c r="D36" s="7" t="s">
        <v>832</v>
      </c>
      <c r="E36" s="7" t="s">
        <v>833</v>
      </c>
      <c r="F36" s="7" t="s">
        <v>834</v>
      </c>
      <c r="G36" s="393" t="s">
        <v>835</v>
      </c>
      <c r="H36" s="394"/>
      <c r="I36" s="394"/>
      <c r="J36" s="394"/>
      <c r="K36" s="394"/>
      <c r="L36" s="394"/>
      <c r="M36" s="394"/>
      <c r="N36" s="394"/>
      <c r="O36" s="394"/>
      <c r="P36" s="394"/>
      <c r="Q36" s="394"/>
      <c r="R36" s="395"/>
    </row>
    <row r="37" spans="1:18">
      <c r="A37" s="9">
        <v>1</v>
      </c>
      <c r="B37" s="9" t="s">
        <v>912</v>
      </c>
      <c r="C37" s="9" t="s">
        <v>913</v>
      </c>
      <c r="D37" s="9" t="s">
        <v>914</v>
      </c>
      <c r="E37" s="10" t="s">
        <v>839</v>
      </c>
      <c r="F37" s="10" t="s">
        <v>915</v>
      </c>
      <c r="G37" s="390"/>
      <c r="H37" s="391"/>
      <c r="I37" s="391"/>
      <c r="J37" s="391"/>
      <c r="K37" s="391"/>
      <c r="L37" s="391"/>
      <c r="M37" s="391"/>
      <c r="N37" s="391"/>
      <c r="O37" s="391"/>
      <c r="P37" s="391"/>
      <c r="Q37" s="391"/>
      <c r="R37" s="392"/>
    </row>
    <row r="38" spans="1:18" ht="22.5" customHeight="1">
      <c r="A38" s="9">
        <v>2</v>
      </c>
      <c r="B38" s="9" t="s">
        <v>916</v>
      </c>
      <c r="C38" s="9" t="s">
        <v>917</v>
      </c>
      <c r="D38" s="9" t="s">
        <v>918</v>
      </c>
      <c r="E38" s="10" t="s">
        <v>839</v>
      </c>
      <c r="F38" s="10" t="s">
        <v>919</v>
      </c>
      <c r="G38" s="390"/>
      <c r="H38" s="391"/>
      <c r="I38" s="391"/>
      <c r="J38" s="391"/>
      <c r="K38" s="391"/>
      <c r="L38" s="391"/>
      <c r="M38" s="391"/>
      <c r="N38" s="391"/>
      <c r="O38" s="391"/>
      <c r="P38" s="391"/>
      <c r="Q38" s="391"/>
      <c r="R38" s="392"/>
    </row>
    <row r="39" spans="1:18" ht="33.75" customHeight="1">
      <c r="A39" s="9" t="s">
        <v>854</v>
      </c>
      <c r="B39" s="9" t="s">
        <v>398</v>
      </c>
      <c r="C39" s="9" t="s">
        <v>920</v>
      </c>
      <c r="D39" s="9" t="s">
        <v>921</v>
      </c>
      <c r="E39" s="10" t="s">
        <v>857</v>
      </c>
      <c r="F39" s="10" t="s">
        <v>922</v>
      </c>
      <c r="G39" s="390"/>
      <c r="H39" s="391"/>
      <c r="I39" s="391"/>
      <c r="J39" s="391"/>
      <c r="K39" s="391"/>
      <c r="L39" s="391"/>
      <c r="M39" s="391"/>
      <c r="N39" s="391"/>
      <c r="O39" s="391"/>
      <c r="P39" s="391"/>
      <c r="Q39" s="391"/>
      <c r="R39" s="392"/>
    </row>
    <row r="40" spans="1:18">
      <c r="A40" s="387"/>
      <c r="B40" s="387"/>
      <c r="C40" s="387"/>
      <c r="D40" s="387"/>
      <c r="E40" s="387"/>
      <c r="F40" s="387"/>
      <c r="G40" s="387"/>
      <c r="H40" s="387"/>
      <c r="I40" s="387"/>
      <c r="J40" s="387"/>
      <c r="K40" s="387"/>
      <c r="L40" s="387"/>
      <c r="M40" s="387"/>
      <c r="N40" s="387"/>
      <c r="O40" s="387"/>
      <c r="P40" s="387"/>
      <c r="Q40" s="387"/>
      <c r="R40" s="387"/>
    </row>
    <row r="41" spans="1:18">
      <c r="A41" s="7" t="s">
        <v>453</v>
      </c>
      <c r="B41" s="7" t="s">
        <v>923</v>
      </c>
      <c r="C41" s="7" t="s">
        <v>456</v>
      </c>
      <c r="D41" s="7" t="s">
        <v>832</v>
      </c>
      <c r="E41" s="7" t="s">
        <v>833</v>
      </c>
      <c r="F41" s="7" t="s">
        <v>834</v>
      </c>
      <c r="G41" s="393" t="s">
        <v>835</v>
      </c>
      <c r="H41" s="394"/>
      <c r="I41" s="394"/>
      <c r="J41" s="394"/>
      <c r="K41" s="394"/>
      <c r="L41" s="394"/>
      <c r="M41" s="394"/>
      <c r="N41" s="394"/>
      <c r="O41" s="394"/>
      <c r="P41" s="394"/>
      <c r="Q41" s="394"/>
      <c r="R41" s="395"/>
    </row>
    <row r="42" spans="1:18" ht="33.75">
      <c r="A42" s="9">
        <v>1</v>
      </c>
      <c r="B42" s="9" t="s">
        <v>398</v>
      </c>
      <c r="C42" s="9" t="s">
        <v>924</v>
      </c>
      <c r="D42" s="9" t="s">
        <v>921</v>
      </c>
      <c r="E42" s="10" t="s">
        <v>857</v>
      </c>
      <c r="F42" s="10" t="s">
        <v>922</v>
      </c>
      <c r="G42" s="390"/>
      <c r="H42" s="391"/>
      <c r="I42" s="391"/>
      <c r="J42" s="391"/>
      <c r="K42" s="391"/>
      <c r="L42" s="391"/>
      <c r="M42" s="391"/>
      <c r="N42" s="391"/>
      <c r="O42" s="391"/>
      <c r="P42" s="391"/>
      <c r="Q42" s="391"/>
      <c r="R42" s="392"/>
    </row>
    <row r="43" spans="1:18">
      <c r="A43" s="9">
        <v>2</v>
      </c>
      <c r="B43" s="9" t="s">
        <v>378</v>
      </c>
      <c r="C43" s="9" t="s">
        <v>855</v>
      </c>
      <c r="D43" s="9" t="s">
        <v>856</v>
      </c>
      <c r="E43" s="10" t="s">
        <v>857</v>
      </c>
      <c r="F43" s="10" t="s">
        <v>504</v>
      </c>
      <c r="G43" s="396"/>
      <c r="H43" s="397"/>
      <c r="I43" s="397"/>
      <c r="J43" s="397"/>
      <c r="K43" s="397"/>
      <c r="L43" s="397"/>
      <c r="M43" s="397"/>
      <c r="N43" s="397"/>
      <c r="O43" s="397"/>
      <c r="P43" s="397"/>
      <c r="Q43" s="397"/>
      <c r="R43" s="398"/>
    </row>
    <row r="44" spans="1:18">
      <c r="A44" s="11">
        <v>3</v>
      </c>
      <c r="B44" s="9" t="s">
        <v>394</v>
      </c>
      <c r="C44" s="9" t="s">
        <v>906</v>
      </c>
      <c r="D44" s="9" t="s">
        <v>610</v>
      </c>
      <c r="E44" s="9" t="s">
        <v>857</v>
      </c>
      <c r="F44" s="9" t="s">
        <v>907</v>
      </c>
      <c r="G44" s="399"/>
      <c r="H44" s="399"/>
      <c r="I44" s="399"/>
      <c r="J44" s="399"/>
      <c r="K44" s="399"/>
      <c r="L44" s="399"/>
      <c r="M44" s="399"/>
      <c r="N44" s="399"/>
      <c r="O44" s="399"/>
      <c r="P44" s="399"/>
      <c r="Q44" s="399"/>
      <c r="R44" s="399"/>
    </row>
    <row r="45" spans="1:18">
      <c r="A45" s="11">
        <v>4</v>
      </c>
      <c r="B45" s="358" t="s">
        <v>393</v>
      </c>
      <c r="C45" s="358" t="s">
        <v>908</v>
      </c>
      <c r="D45" s="358" t="s">
        <v>909</v>
      </c>
      <c r="E45" s="9" t="s">
        <v>857</v>
      </c>
      <c r="F45" s="358" t="s">
        <v>910</v>
      </c>
      <c r="G45" s="389" t="s">
        <v>925</v>
      </c>
      <c r="H45" s="389"/>
      <c r="I45" s="389"/>
      <c r="J45" s="389"/>
      <c r="K45" s="389"/>
      <c r="L45" s="389"/>
      <c r="M45" s="389"/>
      <c r="N45" s="389"/>
      <c r="O45" s="389"/>
      <c r="P45" s="389"/>
      <c r="Q45" s="389"/>
      <c r="R45" s="389"/>
    </row>
    <row r="46" spans="1:18">
      <c r="A46" s="11">
        <v>5</v>
      </c>
      <c r="B46" s="9" t="s">
        <v>388</v>
      </c>
      <c r="C46" s="11"/>
      <c r="D46" s="11"/>
      <c r="E46" s="11" t="s">
        <v>857</v>
      </c>
      <c r="F46" s="358" t="s">
        <v>884</v>
      </c>
      <c r="G46" s="386"/>
      <c r="H46" s="387"/>
      <c r="I46" s="387"/>
      <c r="J46" s="387"/>
      <c r="K46" s="387"/>
      <c r="L46" s="387"/>
      <c r="M46" s="387"/>
      <c r="N46" s="387"/>
      <c r="O46" s="387"/>
      <c r="P46" s="387"/>
      <c r="Q46" s="387"/>
      <c r="R46" s="388"/>
    </row>
  </sheetData>
  <mergeCells count="46">
    <mergeCell ref="A1:F1"/>
    <mergeCell ref="G1:R1"/>
    <mergeCell ref="A35:R35"/>
    <mergeCell ref="A25:R25"/>
    <mergeCell ref="A19:R19"/>
    <mergeCell ref="A16:R16"/>
    <mergeCell ref="G13:R13"/>
    <mergeCell ref="G14:R14"/>
    <mergeCell ref="G15:R15"/>
    <mergeCell ref="G21:R21"/>
    <mergeCell ref="G22:R22"/>
    <mergeCell ref="G23:R23"/>
    <mergeCell ref="G27:R27"/>
    <mergeCell ref="G28:R28"/>
    <mergeCell ref="G29:R29"/>
    <mergeCell ref="G30:R30"/>
    <mergeCell ref="G2:R2"/>
    <mergeCell ref="G11:R11"/>
    <mergeCell ref="G17:R17"/>
    <mergeCell ref="G20:R20"/>
    <mergeCell ref="G26:R26"/>
    <mergeCell ref="G3:R3"/>
    <mergeCell ref="G5:R5"/>
    <mergeCell ref="G6:R6"/>
    <mergeCell ref="G7:R7"/>
    <mergeCell ref="G8:R8"/>
    <mergeCell ref="G9:R9"/>
    <mergeCell ref="G12:R12"/>
    <mergeCell ref="G4:R4"/>
    <mergeCell ref="G18:R18"/>
    <mergeCell ref="G24:R24"/>
    <mergeCell ref="G31:R31"/>
    <mergeCell ref="G32:R32"/>
    <mergeCell ref="G37:R37"/>
    <mergeCell ref="G36:R36"/>
    <mergeCell ref="G44:R44"/>
    <mergeCell ref="G33:R33"/>
    <mergeCell ref="G34:R34"/>
    <mergeCell ref="G46:R46"/>
    <mergeCell ref="G45:R45"/>
    <mergeCell ref="A40:R40"/>
    <mergeCell ref="G38:R38"/>
    <mergeCell ref="G39:R39"/>
    <mergeCell ref="G41:R41"/>
    <mergeCell ref="G42:R42"/>
    <mergeCell ref="G43:R43"/>
  </mergeCells>
  <phoneticPr fontId="11"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EB1B-F21E-AB4F-9622-042CEF399CCE}">
  <dimension ref="A1:O21"/>
  <sheetViews>
    <sheetView zoomScale="115" zoomScaleNormal="115" workbookViewId="0">
      <selection activeCell="H23" sqref="H23"/>
    </sheetView>
  </sheetViews>
  <sheetFormatPr defaultColWidth="8.875" defaultRowHeight="20.25" customHeight="1"/>
  <cols>
    <col min="1" max="1" width="8.875" style="50"/>
    <col min="2" max="2" width="26.875" style="50" customWidth="1"/>
    <col min="3" max="5" width="17.875" style="50" customWidth="1"/>
    <col min="6" max="6" width="26.875" style="50" customWidth="1"/>
    <col min="7" max="8" width="9" style="50" customWidth="1"/>
    <col min="9" max="16384" width="8.875" style="50"/>
  </cols>
  <sheetData>
    <row r="1" spans="1:15" s="38" customFormat="1" ht="20.25" customHeight="1">
      <c r="A1" s="183" t="s">
        <v>451</v>
      </c>
      <c r="B1" s="184"/>
      <c r="C1" s="184"/>
      <c r="D1" s="184"/>
      <c r="E1" s="184"/>
      <c r="F1" s="184"/>
      <c r="G1" s="184"/>
      <c r="H1" s="184"/>
      <c r="I1" s="184"/>
      <c r="J1" s="185"/>
      <c r="K1" s="369" t="s">
        <v>926</v>
      </c>
      <c r="L1" s="370"/>
      <c r="M1" s="370"/>
      <c r="N1" s="371"/>
      <c r="O1" s="14"/>
    </row>
    <row r="2" spans="1:15" s="39" customFormat="1" ht="20.25" customHeight="1">
      <c r="A2" s="8" t="s">
        <v>453</v>
      </c>
      <c r="B2" s="8" t="s">
        <v>454</v>
      </c>
      <c r="C2" s="8" t="s">
        <v>456</v>
      </c>
      <c r="D2" s="8" t="s">
        <v>457</v>
      </c>
      <c r="E2" s="8" t="s">
        <v>458</v>
      </c>
      <c r="F2" s="186" t="s">
        <v>459</v>
      </c>
      <c r="G2" s="187" t="s">
        <v>460</v>
      </c>
      <c r="H2" s="188" t="s">
        <v>461</v>
      </c>
      <c r="I2" s="188" t="s">
        <v>462</v>
      </c>
      <c r="J2" s="8" t="s">
        <v>463</v>
      </c>
      <c r="K2" s="8" t="s">
        <v>464</v>
      </c>
      <c r="L2" s="8" t="s">
        <v>6</v>
      </c>
      <c r="M2" s="8" t="s">
        <v>466</v>
      </c>
      <c r="N2" s="8" t="s">
        <v>467</v>
      </c>
      <c r="O2" s="15" t="s">
        <v>468</v>
      </c>
    </row>
    <row r="3" spans="1:15" s="38" customFormat="1" ht="20.25" customHeight="1">
      <c r="A3" s="19">
        <v>1</v>
      </c>
      <c r="B3" s="51" t="s">
        <v>927</v>
      </c>
      <c r="C3" s="53" t="s">
        <v>928</v>
      </c>
      <c r="D3" s="51" t="s">
        <v>929</v>
      </c>
      <c r="E3" s="51" t="s">
        <v>930</v>
      </c>
      <c r="F3" s="40" t="s">
        <v>931</v>
      </c>
      <c r="G3" s="189"/>
      <c r="H3" s="51"/>
      <c r="I3" s="51"/>
      <c r="J3" s="51"/>
      <c r="K3" s="51"/>
      <c r="L3" s="51"/>
      <c r="M3" s="51"/>
      <c r="N3" s="51"/>
      <c r="O3" s="190"/>
    </row>
    <row r="4" spans="1:15" s="38" customFormat="1" ht="20.25" customHeight="1">
      <c r="A4" s="19">
        <v>2</v>
      </c>
      <c r="B4" s="52" t="s">
        <v>932</v>
      </c>
      <c r="C4" s="54" t="s">
        <v>933</v>
      </c>
      <c r="D4" s="54" t="s">
        <v>934</v>
      </c>
      <c r="E4" s="54" t="s">
        <v>935</v>
      </c>
      <c r="F4" s="41" t="s">
        <v>936</v>
      </c>
      <c r="G4" s="191"/>
      <c r="H4" s="52"/>
      <c r="I4" s="52"/>
      <c r="J4" s="52"/>
      <c r="K4" s="52"/>
      <c r="L4" s="52"/>
      <c r="M4" s="52"/>
      <c r="N4" s="52"/>
      <c r="O4" s="192"/>
    </row>
    <row r="5" spans="1:15" s="38" customFormat="1" ht="20.25" customHeight="1">
      <c r="A5" s="19">
        <v>3</v>
      </c>
      <c r="B5" s="51" t="s">
        <v>937</v>
      </c>
      <c r="C5" s="53" t="s">
        <v>938</v>
      </c>
      <c r="D5" s="51" t="s">
        <v>939</v>
      </c>
      <c r="E5" s="51" t="s">
        <v>940</v>
      </c>
      <c r="F5" s="42" t="s">
        <v>941</v>
      </c>
      <c r="G5" s="193"/>
      <c r="H5" s="51"/>
      <c r="I5" s="51"/>
      <c r="J5" s="51"/>
      <c r="K5" s="51"/>
      <c r="L5" s="51"/>
      <c r="M5" s="51"/>
      <c r="N5" s="51"/>
      <c r="O5" s="190"/>
    </row>
    <row r="6" spans="1:15" s="38" customFormat="1" ht="20.25" customHeight="1">
      <c r="A6" s="19">
        <v>4</v>
      </c>
      <c r="B6" s="52" t="s">
        <v>942</v>
      </c>
      <c r="C6" s="54" t="s">
        <v>943</v>
      </c>
      <c r="D6" s="54" t="s">
        <v>944</v>
      </c>
      <c r="E6" s="54" t="s">
        <v>945</v>
      </c>
      <c r="F6" s="43" t="s">
        <v>946</v>
      </c>
      <c r="G6" s="191"/>
      <c r="H6" s="52"/>
      <c r="I6" s="52"/>
      <c r="J6" s="52"/>
      <c r="K6" s="52"/>
      <c r="L6" s="52"/>
      <c r="M6" s="52"/>
      <c r="N6" s="52"/>
      <c r="O6" s="192"/>
    </row>
    <row r="7" spans="1:15" s="38" customFormat="1" ht="20.25" customHeight="1">
      <c r="A7" s="19">
        <v>5</v>
      </c>
      <c r="B7" s="51" t="s">
        <v>947</v>
      </c>
      <c r="C7" s="53" t="s">
        <v>948</v>
      </c>
      <c r="D7" s="51" t="s">
        <v>949</v>
      </c>
      <c r="E7" s="51" t="s">
        <v>950</v>
      </c>
      <c r="F7" s="42" t="s">
        <v>951</v>
      </c>
      <c r="G7" s="193"/>
      <c r="H7" s="51"/>
      <c r="I7" s="51"/>
      <c r="J7" s="51"/>
      <c r="K7" s="51"/>
      <c r="L7" s="51"/>
      <c r="M7" s="51"/>
      <c r="N7" s="51"/>
      <c r="O7" s="190"/>
    </row>
    <row r="8" spans="1:15" s="38" customFormat="1" ht="20.25" customHeight="1">
      <c r="A8" s="19">
        <v>6</v>
      </c>
      <c r="B8" s="52" t="s">
        <v>952</v>
      </c>
      <c r="C8" s="54" t="s">
        <v>953</v>
      </c>
      <c r="D8" s="54" t="s">
        <v>954</v>
      </c>
      <c r="E8" s="54" t="s">
        <v>955</v>
      </c>
      <c r="F8" s="41" t="s">
        <v>956</v>
      </c>
      <c r="G8" s="191"/>
      <c r="H8" s="52"/>
      <c r="I8" s="52"/>
      <c r="J8" s="52"/>
      <c r="K8" s="52"/>
      <c r="L8" s="52"/>
      <c r="M8" s="52"/>
      <c r="N8" s="52"/>
      <c r="O8" s="192"/>
    </row>
    <row r="9" spans="1:15" s="38" customFormat="1" ht="20.25" customHeight="1">
      <c r="A9" s="19">
        <v>7</v>
      </c>
      <c r="B9" s="51" t="s">
        <v>957</v>
      </c>
      <c r="C9" s="53" t="s">
        <v>958</v>
      </c>
      <c r="D9" s="51" t="s">
        <v>959</v>
      </c>
      <c r="E9" s="55" t="s">
        <v>960</v>
      </c>
      <c r="F9" s="44" t="s">
        <v>961</v>
      </c>
      <c r="G9" s="193"/>
      <c r="H9" s="51"/>
      <c r="I9" s="51"/>
      <c r="J9" s="51"/>
      <c r="K9" s="51"/>
      <c r="L9" s="51"/>
      <c r="M9" s="51"/>
      <c r="N9" s="51"/>
      <c r="O9" s="190"/>
    </row>
    <row r="10" spans="1:15" s="38" customFormat="1" ht="20.25" customHeight="1">
      <c r="A10" s="19">
        <v>8</v>
      </c>
      <c r="B10" s="52" t="s">
        <v>962</v>
      </c>
      <c r="C10" s="54" t="s">
        <v>963</v>
      </c>
      <c r="D10" s="56" t="s">
        <v>964</v>
      </c>
      <c r="E10" s="57" t="s">
        <v>965</v>
      </c>
      <c r="F10" s="45" t="s">
        <v>966</v>
      </c>
      <c r="G10" s="191"/>
      <c r="H10" s="52"/>
      <c r="I10" s="52"/>
      <c r="J10" s="52"/>
      <c r="K10" s="52"/>
      <c r="L10" s="52"/>
      <c r="M10" s="52"/>
      <c r="N10" s="52"/>
      <c r="O10" s="192"/>
    </row>
    <row r="11" spans="1:15" s="38" customFormat="1" ht="20.25" customHeight="1">
      <c r="A11" s="19">
        <v>9</v>
      </c>
      <c r="B11" s="51" t="s">
        <v>967</v>
      </c>
      <c r="C11" s="53" t="s">
        <v>968</v>
      </c>
      <c r="D11" s="51" t="s">
        <v>969</v>
      </c>
      <c r="E11" s="58" t="s">
        <v>970</v>
      </c>
      <c r="F11" s="46" t="s">
        <v>971</v>
      </c>
      <c r="G11" s="193"/>
      <c r="H11" s="51"/>
      <c r="I11" s="51"/>
      <c r="J11" s="51"/>
      <c r="K11" s="51"/>
      <c r="L11" s="51"/>
      <c r="M11" s="51"/>
      <c r="N11" s="51"/>
      <c r="O11" s="190"/>
    </row>
    <row r="12" spans="1:15" s="38" customFormat="1" ht="20.25" customHeight="1">
      <c r="A12" s="19">
        <v>10</v>
      </c>
      <c r="B12" s="52" t="s">
        <v>972</v>
      </c>
      <c r="C12" s="54" t="s">
        <v>973</v>
      </c>
      <c r="D12" s="54" t="s">
        <v>974</v>
      </c>
      <c r="E12" s="59" t="s">
        <v>975</v>
      </c>
      <c r="F12" s="45" t="s">
        <v>976</v>
      </c>
      <c r="G12" s="191"/>
      <c r="H12" s="52"/>
      <c r="I12" s="52"/>
      <c r="J12" s="52"/>
      <c r="K12" s="52"/>
      <c r="L12" s="52"/>
      <c r="M12" s="52"/>
      <c r="N12" s="52"/>
      <c r="O12" s="192"/>
    </row>
    <row r="13" spans="1:15" s="38" customFormat="1" ht="20.25" customHeight="1">
      <c r="A13" s="19">
        <v>11</v>
      </c>
      <c r="B13" s="51" t="s">
        <v>977</v>
      </c>
      <c r="C13" s="53" t="s">
        <v>978</v>
      </c>
      <c r="D13" s="51" t="s">
        <v>979</v>
      </c>
      <c r="E13" s="58" t="s">
        <v>980</v>
      </c>
      <c r="F13" s="46" t="s">
        <v>981</v>
      </c>
      <c r="G13" s="193"/>
      <c r="H13" s="51"/>
      <c r="I13" s="51"/>
      <c r="J13" s="51"/>
      <c r="K13" s="51"/>
      <c r="L13" s="51"/>
      <c r="M13" s="51"/>
      <c r="N13" s="51"/>
      <c r="O13" s="190"/>
    </row>
    <row r="14" spans="1:15" s="38" customFormat="1" ht="20.25" customHeight="1">
      <c r="A14" s="19">
        <v>12</v>
      </c>
      <c r="B14" s="52" t="s">
        <v>982</v>
      </c>
      <c r="C14" s="54" t="s">
        <v>983</v>
      </c>
      <c r="D14" s="54" t="s">
        <v>984</v>
      </c>
      <c r="E14" s="60" t="s">
        <v>985</v>
      </c>
      <c r="F14" s="47" t="s">
        <v>986</v>
      </c>
      <c r="G14" s="191"/>
      <c r="H14" s="52"/>
      <c r="I14" s="52"/>
      <c r="J14" s="52"/>
      <c r="K14" s="52"/>
      <c r="L14" s="52"/>
      <c r="M14" s="52"/>
      <c r="N14" s="52"/>
      <c r="O14" s="192"/>
    </row>
    <row r="15" spans="1:15" s="38" customFormat="1" ht="20.25" customHeight="1">
      <c r="A15" s="19">
        <v>13</v>
      </c>
      <c r="B15" s="51" t="s">
        <v>987</v>
      </c>
      <c r="C15" s="53" t="s">
        <v>988</v>
      </c>
      <c r="D15" s="51" t="s">
        <v>989</v>
      </c>
      <c r="E15" s="61" t="s">
        <v>990</v>
      </c>
      <c r="F15" s="48" t="s">
        <v>991</v>
      </c>
      <c r="G15" s="193"/>
      <c r="H15" s="51"/>
      <c r="I15" s="51"/>
      <c r="J15" s="51"/>
      <c r="K15" s="51"/>
      <c r="L15" s="51"/>
      <c r="M15" s="51"/>
      <c r="N15" s="51"/>
      <c r="O15" s="190"/>
    </row>
    <row r="16" spans="1:15" s="38" customFormat="1" ht="20.25" customHeight="1">
      <c r="A16" s="19">
        <v>14</v>
      </c>
      <c r="B16" s="52" t="s">
        <v>992</v>
      </c>
      <c r="C16" s="54" t="s">
        <v>993</v>
      </c>
      <c r="D16" s="54" t="s">
        <v>994</v>
      </c>
      <c r="E16" s="62" t="s">
        <v>995</v>
      </c>
      <c r="F16" s="49" t="s">
        <v>996</v>
      </c>
      <c r="G16" s="191"/>
      <c r="H16" s="52"/>
      <c r="I16" s="52"/>
      <c r="J16" s="52"/>
      <c r="K16" s="52"/>
      <c r="L16" s="52"/>
      <c r="M16" s="52"/>
      <c r="N16" s="52"/>
      <c r="O16" s="192"/>
    </row>
    <row r="17" spans="1:15" s="38" customFormat="1" ht="20.25" customHeight="1">
      <c r="A17" s="19">
        <v>15</v>
      </c>
      <c r="B17" s="51" t="s">
        <v>997</v>
      </c>
      <c r="C17" s="53" t="s">
        <v>998</v>
      </c>
      <c r="D17" s="51" t="s">
        <v>999</v>
      </c>
      <c r="E17" s="63" t="s">
        <v>1000</v>
      </c>
      <c r="F17" s="46" t="s">
        <v>1001</v>
      </c>
      <c r="G17" s="193"/>
      <c r="H17" s="51"/>
      <c r="I17" s="51"/>
      <c r="J17" s="51"/>
      <c r="K17" s="51"/>
      <c r="L17" s="51"/>
      <c r="M17" s="51"/>
      <c r="N17" s="51"/>
      <c r="O17" s="190"/>
    </row>
    <row r="18" spans="1:15" s="38" customFormat="1" ht="20.25" customHeight="1">
      <c r="A18" s="19">
        <v>16</v>
      </c>
      <c r="B18" s="52" t="s">
        <v>1002</v>
      </c>
      <c r="C18" s="54" t="s">
        <v>1003</v>
      </c>
      <c r="D18" s="54" t="s">
        <v>1004</v>
      </c>
      <c r="E18" s="54" t="s">
        <v>1005</v>
      </c>
      <c r="F18" s="43" t="s">
        <v>1006</v>
      </c>
      <c r="G18" s="191"/>
      <c r="H18" s="52"/>
      <c r="I18" s="52"/>
      <c r="J18" s="52"/>
      <c r="K18" s="52"/>
      <c r="L18" s="52"/>
      <c r="M18" s="52"/>
      <c r="N18" s="52"/>
      <c r="O18" s="192"/>
    </row>
    <row r="19" spans="1:15" s="38" customFormat="1" ht="20.25" customHeight="1">
      <c r="A19" s="19">
        <v>17</v>
      </c>
      <c r="B19" s="51" t="s">
        <v>1007</v>
      </c>
      <c r="C19" s="53" t="s">
        <v>1008</v>
      </c>
      <c r="D19" s="51" t="s">
        <v>1009</v>
      </c>
      <c r="E19" s="51" t="s">
        <v>1010</v>
      </c>
      <c r="F19" s="42" t="s">
        <v>1011</v>
      </c>
      <c r="G19" s="193"/>
      <c r="H19" s="51"/>
      <c r="I19" s="51"/>
      <c r="J19" s="51"/>
      <c r="K19" s="51"/>
      <c r="L19" s="51"/>
      <c r="M19" s="51"/>
      <c r="N19" s="51"/>
      <c r="O19" s="190"/>
    </row>
    <row r="20" spans="1:15" s="38" customFormat="1" ht="20.25" customHeight="1">
      <c r="A20" s="19">
        <v>18</v>
      </c>
      <c r="B20" s="52" t="s">
        <v>1012</v>
      </c>
      <c r="C20" s="54" t="s">
        <v>1013</v>
      </c>
      <c r="D20" s="54" t="s">
        <v>1014</v>
      </c>
      <c r="E20" s="64" t="s">
        <v>1015</v>
      </c>
      <c r="F20" s="41" t="s">
        <v>1016</v>
      </c>
      <c r="G20" s="191"/>
      <c r="H20" s="52"/>
      <c r="I20" s="52"/>
      <c r="J20" s="52"/>
      <c r="K20" s="52"/>
      <c r="L20" s="52"/>
      <c r="M20" s="52"/>
      <c r="N20" s="52"/>
      <c r="O20" s="192"/>
    </row>
    <row r="21" spans="1:15" s="38" customFormat="1" ht="20.25" customHeight="1">
      <c r="A21" s="19">
        <v>19</v>
      </c>
      <c r="B21" s="51" t="s">
        <v>1017</v>
      </c>
      <c r="C21" s="53" t="s">
        <v>1018</v>
      </c>
      <c r="D21" s="51" t="s">
        <v>1019</v>
      </c>
      <c r="E21" s="116" t="s">
        <v>1020</v>
      </c>
      <c r="F21" s="42" t="s">
        <v>1021</v>
      </c>
      <c r="G21" s="193"/>
      <c r="H21" s="51"/>
      <c r="I21" s="51"/>
      <c r="J21" s="51"/>
      <c r="K21" s="51"/>
      <c r="L21" s="51"/>
      <c r="M21" s="51"/>
      <c r="N21" s="51"/>
      <c r="O21" s="190"/>
    </row>
  </sheetData>
  <mergeCells count="1">
    <mergeCell ref="K1:N1"/>
  </mergeCells>
  <phoneticPr fontId="14" type="noConversion"/>
  <hyperlinks>
    <hyperlink ref="F3" r:id="rId1" xr:uid="{A06B9B50-4E26-4080-AFC2-D2BE91EBDEC4}"/>
    <hyperlink ref="F5" r:id="rId2" xr:uid="{1D987FB4-3197-4BD7-B962-5A0999E9A60F}"/>
    <hyperlink ref="F6" r:id="rId3" xr:uid="{AA2EA68C-A52F-4900-8900-E78ACF140F9A}"/>
    <hyperlink ref="F7" r:id="rId4" xr:uid="{ED8F5034-B36F-4765-A0CC-D8A1216685FC}"/>
    <hyperlink ref="F8" r:id="rId5" xr:uid="{97069EFE-8745-4F7F-B8B2-44726950B51E}"/>
    <hyperlink ref="F9" r:id="rId6" xr:uid="{F768245F-8A7C-44EE-9EAA-67BEE567A017}"/>
    <hyperlink ref="F11" r:id="rId7" xr:uid="{B5EC03DA-2DE2-4537-B9C6-9895FFA60CF9}"/>
    <hyperlink ref="F13" r:id="rId8" xr:uid="{031F6A9E-6C09-48BC-A27E-E07A0FB539EA}"/>
    <hyperlink ref="F14" r:id="rId9" xr:uid="{840B789C-AD28-4881-8141-23DC67EA72A7}"/>
    <hyperlink ref="F15" r:id="rId10" xr:uid="{7AC48CAF-6E33-4CAB-84B4-79CF6280CE82}"/>
    <hyperlink ref="F16" r:id="rId11" xr:uid="{6AD20954-10E8-4621-8FED-7C50D205933C}"/>
    <hyperlink ref="F17" r:id="rId12" xr:uid="{7AF9B23A-10D5-46A2-B378-E6317ED3EE58}"/>
    <hyperlink ref="F18" r:id="rId13" xr:uid="{E6C6FBC5-31B0-4ADD-B251-7496B8A1B8F7}"/>
    <hyperlink ref="F19" r:id="rId14" xr:uid="{12140312-DBE2-427E-B12D-7ABB27BBAD70}"/>
    <hyperlink ref="F21" r:id="rId15" xr:uid="{6AB9E43B-E55B-40FD-A447-E32A6153BD5B}"/>
    <hyperlink ref="F20" r:id="rId16" xr:uid="{F0F3F54F-BD7A-4466-B69E-349A79F04D10}"/>
    <hyperlink ref="F10" r:id="rId17" xr:uid="{D339EE69-E1FC-40B6-BBE4-989DC65BCD1A}"/>
    <hyperlink ref="F12" r:id="rId18" xr:uid="{3C47197B-CFE3-4B41-A056-1FBF817E116B}"/>
    <hyperlink ref="F4" r:id="rId19" xr:uid="{D97E286E-A397-4354-8C50-B9A02B757413}"/>
  </hyperlinks>
  <pageMargins left="0.7" right="0.7" top="0.75" bottom="0.75" header="0.3" footer="0.3"/>
  <pageSetup paperSize="9" orientation="portrait" verticalDpi="0" r:id="rId20"/>
  <legacyDrawing r:id="rId2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96B0A-8ABE-49B8-9977-949929184C39}">
  <dimension ref="A1:O29"/>
  <sheetViews>
    <sheetView topLeftCell="A7" zoomScale="115" zoomScaleNormal="115" workbookViewId="0">
      <selection activeCell="K41" sqref="K41"/>
    </sheetView>
  </sheetViews>
  <sheetFormatPr defaultColWidth="8.875" defaultRowHeight="20.100000000000001" customHeight="1"/>
  <cols>
    <col min="2" max="2" width="26.875" customWidth="1"/>
    <col min="3" max="3" width="18" customWidth="1"/>
    <col min="4" max="4" width="17.875" customWidth="1"/>
    <col min="5" max="5" width="18" customWidth="1"/>
    <col min="6" max="6" width="26.875" customWidth="1"/>
    <col min="7" max="8" width="9.125" customWidth="1"/>
  </cols>
  <sheetData>
    <row r="1" spans="1:15" s="3" customFormat="1" ht="20.25" customHeight="1">
      <c r="A1" s="183" t="s">
        <v>451</v>
      </c>
      <c r="B1" s="184"/>
      <c r="C1" s="184"/>
      <c r="D1" s="184"/>
      <c r="E1" s="184"/>
      <c r="F1" s="184"/>
      <c r="G1" s="184"/>
      <c r="H1" s="184"/>
      <c r="I1" s="184"/>
      <c r="J1" s="185"/>
      <c r="K1" s="369"/>
      <c r="L1" s="370"/>
      <c r="M1" s="370"/>
      <c r="N1" s="371"/>
      <c r="O1" s="14"/>
    </row>
    <row r="2" spans="1:15" s="4" customFormat="1" ht="20.25" customHeight="1">
      <c r="A2" s="8" t="s">
        <v>453</v>
      </c>
      <c r="B2" s="8" t="s">
        <v>454</v>
      </c>
      <c r="C2" s="8" t="s">
        <v>456</v>
      </c>
      <c r="D2" s="8" t="s">
        <v>457</v>
      </c>
      <c r="E2" s="8" t="s">
        <v>458</v>
      </c>
      <c r="F2" s="186" t="s">
        <v>459</v>
      </c>
      <c r="G2" s="187" t="s">
        <v>460</v>
      </c>
      <c r="H2" s="188" t="s">
        <v>461</v>
      </c>
      <c r="I2" s="188" t="s">
        <v>462</v>
      </c>
      <c r="J2" s="8" t="s">
        <v>463</v>
      </c>
      <c r="K2" s="8" t="s">
        <v>464</v>
      </c>
      <c r="L2" s="8" t="s">
        <v>6</v>
      </c>
      <c r="M2" s="8" t="s">
        <v>466</v>
      </c>
      <c r="N2" s="8" t="s">
        <v>467</v>
      </c>
      <c r="O2" s="15" t="s">
        <v>468</v>
      </c>
    </row>
    <row r="3" spans="1:15" s="3" customFormat="1" ht="20.25" customHeight="1">
      <c r="A3" s="19">
        <v>1</v>
      </c>
      <c r="B3" s="51" t="s">
        <v>1022</v>
      </c>
      <c r="C3" s="53" t="s">
        <v>1023</v>
      </c>
      <c r="D3" s="51" t="s">
        <v>1024</v>
      </c>
      <c r="E3" s="51" t="s">
        <v>1025</v>
      </c>
      <c r="F3" s="40"/>
      <c r="G3" s="189"/>
      <c r="H3" s="51"/>
      <c r="I3" s="51"/>
      <c r="J3" s="51"/>
      <c r="K3" s="51"/>
      <c r="L3" s="51"/>
      <c r="M3" s="51"/>
      <c r="N3" s="51"/>
      <c r="O3" s="190"/>
    </row>
    <row r="4" spans="1:15" s="3" customFormat="1" ht="20.25" customHeight="1">
      <c r="A4" s="19">
        <v>2</v>
      </c>
      <c r="B4" s="52" t="s">
        <v>1026</v>
      </c>
      <c r="C4" s="54" t="s">
        <v>1027</v>
      </c>
      <c r="D4" s="54" t="s">
        <v>1028</v>
      </c>
      <c r="E4" s="54" t="s">
        <v>1029</v>
      </c>
      <c r="F4" s="41" t="s">
        <v>1030</v>
      </c>
      <c r="G4" s="191"/>
      <c r="H4" s="52"/>
      <c r="I4" s="52"/>
      <c r="J4" s="52"/>
      <c r="K4" s="52"/>
      <c r="L4" s="52"/>
      <c r="M4" s="52"/>
      <c r="N4" s="52"/>
      <c r="O4" s="192"/>
    </row>
    <row r="5" spans="1:15" s="3" customFormat="1" ht="20.25" customHeight="1">
      <c r="A5" s="19">
        <v>3</v>
      </c>
      <c r="B5" s="51" t="s">
        <v>1031</v>
      </c>
      <c r="C5" s="53" t="s">
        <v>1032</v>
      </c>
      <c r="D5" s="51" t="s">
        <v>1033</v>
      </c>
      <c r="E5" s="51" t="s">
        <v>1034</v>
      </c>
      <c r="F5" s="42" t="s">
        <v>1035</v>
      </c>
      <c r="G5" s="193"/>
      <c r="H5" s="51"/>
      <c r="I5" s="51"/>
      <c r="J5" s="51"/>
      <c r="K5" s="51"/>
      <c r="L5" s="51"/>
      <c r="M5" s="51"/>
      <c r="N5" s="51"/>
      <c r="O5" s="190"/>
    </row>
    <row r="6" spans="1:15" s="3" customFormat="1" ht="20.25" customHeight="1">
      <c r="A6" s="19">
        <v>4</v>
      </c>
      <c r="B6" s="52" t="s">
        <v>1036</v>
      </c>
      <c r="C6" s="54" t="s">
        <v>1037</v>
      </c>
      <c r="D6" s="54" t="s">
        <v>1038</v>
      </c>
      <c r="E6" s="54" t="s">
        <v>1039</v>
      </c>
      <c r="F6" s="43" t="s">
        <v>1040</v>
      </c>
      <c r="G6" s="191"/>
      <c r="H6" s="52"/>
      <c r="I6" s="52"/>
      <c r="J6" s="52"/>
      <c r="K6" s="52"/>
      <c r="L6" s="52"/>
      <c r="M6" s="52"/>
      <c r="N6" s="52"/>
      <c r="O6" s="192"/>
    </row>
    <row r="7" spans="1:15" s="3" customFormat="1" ht="20.25" customHeight="1">
      <c r="A7" s="19">
        <v>5</v>
      </c>
      <c r="B7" s="51" t="s">
        <v>1041</v>
      </c>
      <c r="C7" s="53" t="s">
        <v>1042</v>
      </c>
      <c r="D7" s="51" t="s">
        <v>1043</v>
      </c>
      <c r="E7" s="51" t="s">
        <v>1044</v>
      </c>
      <c r="F7" s="42" t="s">
        <v>1045</v>
      </c>
      <c r="G7" s="193"/>
      <c r="H7" s="51"/>
      <c r="I7" s="51"/>
      <c r="J7" s="51"/>
      <c r="K7" s="51"/>
      <c r="L7" s="51"/>
      <c r="M7" s="51"/>
      <c r="N7" s="51"/>
      <c r="O7" s="190"/>
    </row>
    <row r="8" spans="1:15" s="3" customFormat="1" ht="20.25" customHeight="1">
      <c r="A8" s="19">
        <v>6</v>
      </c>
      <c r="B8" s="52" t="s">
        <v>1046</v>
      </c>
      <c r="C8" s="54" t="s">
        <v>1047</v>
      </c>
      <c r="D8" s="54" t="s">
        <v>1048</v>
      </c>
      <c r="E8" s="54" t="s">
        <v>1049</v>
      </c>
      <c r="F8" s="41" t="s">
        <v>1050</v>
      </c>
      <c r="G8" s="191"/>
      <c r="H8" s="52"/>
      <c r="I8" s="52"/>
      <c r="J8" s="52"/>
      <c r="K8" s="52"/>
      <c r="L8" s="52"/>
      <c r="M8" s="52"/>
      <c r="N8" s="52"/>
      <c r="O8" s="192"/>
    </row>
    <row r="9" spans="1:15" s="3" customFormat="1" ht="20.25" customHeight="1">
      <c r="A9" s="19">
        <v>7</v>
      </c>
      <c r="B9" s="51" t="s">
        <v>1051</v>
      </c>
      <c r="C9" s="53" t="s">
        <v>1052</v>
      </c>
      <c r="D9" s="51" t="s">
        <v>1053</v>
      </c>
      <c r="E9" s="55" t="s">
        <v>1054</v>
      </c>
      <c r="F9" s="44" t="s">
        <v>1055</v>
      </c>
      <c r="G9" s="193"/>
      <c r="H9" s="51"/>
      <c r="I9" s="51"/>
      <c r="J9" s="51"/>
      <c r="K9" s="51"/>
      <c r="L9" s="51"/>
      <c r="M9" s="51"/>
      <c r="N9" s="51"/>
      <c r="O9" s="190"/>
    </row>
    <row r="10" spans="1:15" s="3" customFormat="1" ht="20.25" customHeight="1">
      <c r="A10" s="19">
        <v>8</v>
      </c>
      <c r="B10" s="52" t="s">
        <v>1056</v>
      </c>
      <c r="C10" s="54" t="s">
        <v>1057</v>
      </c>
      <c r="D10" s="56" t="s">
        <v>1058</v>
      </c>
      <c r="E10" s="57" t="s">
        <v>1059</v>
      </c>
      <c r="F10" s="45" t="s">
        <v>1060</v>
      </c>
      <c r="G10" s="191"/>
      <c r="H10" s="52"/>
      <c r="I10" s="52"/>
      <c r="J10" s="52"/>
      <c r="K10" s="52"/>
      <c r="L10" s="52"/>
      <c r="M10" s="52"/>
      <c r="N10" s="52"/>
      <c r="O10" s="192"/>
    </row>
    <row r="11" spans="1:15" s="3" customFormat="1" ht="20.25" customHeight="1">
      <c r="A11" s="19">
        <v>9</v>
      </c>
      <c r="B11" s="51" t="s">
        <v>1061</v>
      </c>
      <c r="C11" s="53" t="s">
        <v>1062</v>
      </c>
      <c r="D11" s="51" t="s">
        <v>1063</v>
      </c>
      <c r="E11" s="58" t="s">
        <v>1064</v>
      </c>
      <c r="F11" s="46" t="s">
        <v>1065</v>
      </c>
      <c r="G11" s="193"/>
      <c r="H11" s="51"/>
      <c r="I11" s="51"/>
      <c r="J11" s="51"/>
      <c r="K11" s="51"/>
      <c r="L11" s="51"/>
      <c r="M11" s="51"/>
      <c r="N11" s="51"/>
      <c r="O11" s="190"/>
    </row>
    <row r="12" spans="1:15" s="3" customFormat="1" ht="20.25" customHeight="1">
      <c r="A12" s="19">
        <v>10</v>
      </c>
      <c r="B12" s="52" t="s">
        <v>1066</v>
      </c>
      <c r="C12" s="54" t="s">
        <v>1067</v>
      </c>
      <c r="D12" s="54" t="s">
        <v>1068</v>
      </c>
      <c r="E12" s="59" t="s">
        <v>1069</v>
      </c>
      <c r="F12" s="45"/>
      <c r="G12" s="191"/>
      <c r="H12" s="52"/>
      <c r="I12" s="52"/>
      <c r="J12" s="52"/>
      <c r="K12" s="52"/>
      <c r="L12" s="52"/>
      <c r="M12" s="52"/>
      <c r="N12" s="52"/>
      <c r="O12" s="192"/>
    </row>
    <row r="13" spans="1:15" s="3" customFormat="1" ht="20.25" customHeight="1">
      <c r="A13" s="19">
        <v>11</v>
      </c>
      <c r="B13" s="51" t="s">
        <v>1070</v>
      </c>
      <c r="C13" s="53" t="s">
        <v>1071</v>
      </c>
      <c r="D13" s="51" t="s">
        <v>1072</v>
      </c>
      <c r="E13" s="58" t="s">
        <v>1073</v>
      </c>
      <c r="F13" s="46" t="s">
        <v>1074</v>
      </c>
      <c r="G13" s="193"/>
      <c r="H13" s="51"/>
      <c r="I13" s="51"/>
      <c r="J13" s="51"/>
      <c r="K13" s="51"/>
      <c r="L13" s="51"/>
      <c r="M13" s="51"/>
      <c r="N13" s="51"/>
      <c r="O13" s="190"/>
    </row>
    <row r="14" spans="1:15" s="3" customFormat="1" ht="20.25" customHeight="1">
      <c r="A14" s="19">
        <v>12</v>
      </c>
      <c r="B14" s="52" t="s">
        <v>1075</v>
      </c>
      <c r="C14" s="54" t="s">
        <v>1076</v>
      </c>
      <c r="D14" s="54" t="s">
        <v>1077</v>
      </c>
      <c r="E14" s="60" t="s">
        <v>1078</v>
      </c>
      <c r="F14" s="47" t="s">
        <v>1079</v>
      </c>
      <c r="G14" s="191"/>
      <c r="H14" s="52"/>
      <c r="I14" s="52"/>
      <c r="J14" s="52"/>
      <c r="K14" s="52"/>
      <c r="L14" s="52"/>
      <c r="M14" s="52"/>
      <c r="N14" s="52"/>
      <c r="O14" s="192"/>
    </row>
    <row r="15" spans="1:15" s="3" customFormat="1" ht="20.25" customHeight="1">
      <c r="A15" s="19">
        <v>13</v>
      </c>
      <c r="B15" s="51" t="s">
        <v>1080</v>
      </c>
      <c r="C15" s="53" t="s">
        <v>1081</v>
      </c>
      <c r="D15" s="51" t="s">
        <v>1082</v>
      </c>
      <c r="E15" s="61" t="s">
        <v>1083</v>
      </c>
      <c r="F15" s="48" t="s">
        <v>1084</v>
      </c>
      <c r="G15" s="193"/>
      <c r="H15" s="51"/>
      <c r="I15" s="51"/>
      <c r="J15" s="51"/>
      <c r="K15" s="51"/>
      <c r="L15" s="51"/>
      <c r="M15" s="51"/>
      <c r="N15" s="51"/>
      <c r="O15" s="190"/>
    </row>
    <row r="16" spans="1:15" s="3" customFormat="1" ht="20.25" customHeight="1">
      <c r="A16" s="19">
        <v>14</v>
      </c>
      <c r="B16" s="52" t="s">
        <v>1085</v>
      </c>
      <c r="C16" s="54" t="s">
        <v>1086</v>
      </c>
      <c r="D16" s="54" t="s">
        <v>1087</v>
      </c>
      <c r="E16" s="62" t="s">
        <v>1088</v>
      </c>
      <c r="F16" s="49" t="s">
        <v>1089</v>
      </c>
      <c r="G16" s="191"/>
      <c r="H16" s="52"/>
      <c r="I16" s="52"/>
      <c r="J16" s="52"/>
      <c r="K16" s="52"/>
      <c r="L16" s="52"/>
      <c r="M16" s="52"/>
      <c r="N16" s="52"/>
      <c r="O16" s="192"/>
    </row>
    <row r="17" spans="1:15" s="3" customFormat="1" ht="20.25" customHeight="1">
      <c r="A17" s="19">
        <v>15</v>
      </c>
      <c r="B17" s="51" t="s">
        <v>1090</v>
      </c>
      <c r="C17" s="53" t="s">
        <v>1091</v>
      </c>
      <c r="D17" s="51" t="s">
        <v>1092</v>
      </c>
      <c r="E17" s="63" t="s">
        <v>1093</v>
      </c>
      <c r="F17" s="46" t="s">
        <v>1094</v>
      </c>
      <c r="G17" s="193"/>
      <c r="H17" s="51"/>
      <c r="I17" s="51"/>
      <c r="J17" s="51"/>
      <c r="K17" s="51"/>
      <c r="L17" s="51"/>
      <c r="M17" s="51"/>
      <c r="N17" s="51"/>
      <c r="O17" s="190"/>
    </row>
    <row r="18" spans="1:15" s="3" customFormat="1" ht="20.25" customHeight="1">
      <c r="A18" s="19">
        <v>16</v>
      </c>
      <c r="B18" s="52" t="s">
        <v>1095</v>
      </c>
      <c r="C18" s="54" t="s">
        <v>1096</v>
      </c>
      <c r="D18" s="54" t="s">
        <v>1097</v>
      </c>
      <c r="E18" s="54" t="s">
        <v>1098</v>
      </c>
      <c r="F18" s="43" t="s">
        <v>1099</v>
      </c>
      <c r="G18" s="191"/>
      <c r="H18" s="52"/>
      <c r="I18" s="52"/>
      <c r="J18" s="52"/>
      <c r="K18" s="52"/>
      <c r="L18" s="52"/>
      <c r="M18" s="52"/>
      <c r="N18" s="52"/>
      <c r="O18" s="192"/>
    </row>
    <row r="19" spans="1:15" s="3" customFormat="1" ht="20.25" customHeight="1">
      <c r="A19" s="19">
        <v>17</v>
      </c>
      <c r="B19" s="51" t="s">
        <v>1100</v>
      </c>
      <c r="C19" s="53" t="s">
        <v>1101</v>
      </c>
      <c r="D19" s="51" t="s">
        <v>1102</v>
      </c>
      <c r="E19" s="51" t="s">
        <v>1103</v>
      </c>
      <c r="F19" s="42" t="s">
        <v>1104</v>
      </c>
      <c r="G19" s="193"/>
      <c r="H19" s="51"/>
      <c r="I19" s="51"/>
      <c r="J19" s="51"/>
      <c r="K19" s="51"/>
      <c r="L19" s="51"/>
      <c r="M19" s="51"/>
      <c r="N19" s="51"/>
      <c r="O19" s="190"/>
    </row>
    <row r="20" spans="1:15" s="3" customFormat="1" ht="20.25" customHeight="1">
      <c r="A20" s="19">
        <v>18</v>
      </c>
      <c r="B20" s="52" t="s">
        <v>1105</v>
      </c>
      <c r="C20" s="54" t="s">
        <v>1106</v>
      </c>
      <c r="D20" s="54" t="s">
        <v>1107</v>
      </c>
      <c r="E20" s="64" t="s">
        <v>1108</v>
      </c>
      <c r="F20" s="41" t="s">
        <v>1109</v>
      </c>
      <c r="G20" s="191"/>
      <c r="H20" s="52"/>
      <c r="I20" s="52"/>
      <c r="J20" s="52"/>
      <c r="K20" s="52"/>
      <c r="L20" s="52"/>
      <c r="M20" s="52"/>
      <c r="N20" s="52"/>
      <c r="O20" s="192"/>
    </row>
    <row r="21" spans="1:15" s="3" customFormat="1" ht="20.25" customHeight="1">
      <c r="A21" s="19">
        <v>19</v>
      </c>
      <c r="B21" s="51" t="s">
        <v>1110</v>
      </c>
      <c r="C21" s="53" t="s">
        <v>1111</v>
      </c>
      <c r="D21" s="51" t="s">
        <v>1112</v>
      </c>
      <c r="E21" s="116" t="s">
        <v>1113</v>
      </c>
      <c r="F21" s="42" t="s">
        <v>1114</v>
      </c>
      <c r="G21" s="193"/>
      <c r="H21" s="51"/>
      <c r="I21" s="51"/>
      <c r="J21" s="51"/>
      <c r="K21" s="51"/>
      <c r="L21" s="51"/>
      <c r="M21" s="51"/>
      <c r="N21" s="51"/>
      <c r="O21" s="190"/>
    </row>
    <row r="22" spans="1:15" ht="20.25" customHeight="1">
      <c r="A22" s="19">
        <v>20</v>
      </c>
      <c r="B22" s="52" t="s">
        <v>1115</v>
      </c>
      <c r="C22" s="54" t="s">
        <v>1116</v>
      </c>
      <c r="D22" s="52" t="s">
        <v>1117</v>
      </c>
      <c r="E22" s="305" t="s">
        <v>1118</v>
      </c>
      <c r="F22" s="49" t="s">
        <v>1119</v>
      </c>
      <c r="G22" s="306"/>
      <c r="H22" s="52"/>
      <c r="I22" s="52"/>
      <c r="J22" s="52"/>
      <c r="K22" s="52"/>
      <c r="L22" s="52"/>
      <c r="M22" s="52"/>
      <c r="N22" s="52"/>
      <c r="O22" s="192"/>
    </row>
    <row r="23" spans="1:15" ht="20.25" customHeight="1">
      <c r="A23" s="19">
        <v>21</v>
      </c>
      <c r="B23" s="51" t="s">
        <v>1120</v>
      </c>
      <c r="C23" s="53" t="s">
        <v>1121</v>
      </c>
      <c r="D23" s="53" t="s">
        <v>1122</v>
      </c>
      <c r="E23" s="53" t="s">
        <v>1123</v>
      </c>
      <c r="F23" s="307" t="s">
        <v>1124</v>
      </c>
      <c r="G23" s="308"/>
      <c r="H23" s="51"/>
      <c r="I23" s="51"/>
      <c r="J23" s="51"/>
      <c r="K23" s="51"/>
      <c r="L23" s="51"/>
      <c r="M23" s="51"/>
      <c r="N23" s="51"/>
      <c r="O23" s="190"/>
    </row>
    <row r="24" spans="1:15" ht="20.25" customHeight="1">
      <c r="A24" s="19">
        <v>22</v>
      </c>
      <c r="B24" s="52" t="s">
        <v>1125</v>
      </c>
      <c r="C24" s="54" t="s">
        <v>1126</v>
      </c>
      <c r="D24" s="52" t="s">
        <v>1127</v>
      </c>
      <c r="E24" s="52" t="s">
        <v>1128</v>
      </c>
      <c r="F24" s="41" t="s">
        <v>1129</v>
      </c>
      <c r="G24" s="306"/>
      <c r="H24" s="52"/>
      <c r="I24" s="52"/>
      <c r="J24" s="52"/>
      <c r="K24" s="52"/>
      <c r="L24" s="52"/>
      <c r="M24" s="52"/>
      <c r="N24" s="52"/>
      <c r="O24" s="192"/>
    </row>
    <row r="25" spans="1:15" ht="20.25" customHeight="1">
      <c r="A25" s="19">
        <v>23</v>
      </c>
      <c r="B25" s="51" t="s">
        <v>1130</v>
      </c>
      <c r="C25" s="53" t="s">
        <v>1131</v>
      </c>
      <c r="D25" s="53" t="s">
        <v>1132</v>
      </c>
      <c r="E25" s="309" t="s">
        <v>1133</v>
      </c>
      <c r="F25" s="42" t="s">
        <v>1134</v>
      </c>
      <c r="G25" s="308"/>
      <c r="H25" s="51"/>
      <c r="I25" s="51"/>
      <c r="J25" s="51"/>
      <c r="K25" s="51"/>
      <c r="L25" s="51"/>
      <c r="M25" s="51"/>
      <c r="N25" s="51"/>
      <c r="O25" s="190"/>
    </row>
    <row r="26" spans="1:15" ht="20.25" customHeight="1">
      <c r="A26" s="19">
        <v>24</v>
      </c>
      <c r="B26" s="310" t="s">
        <v>1135</v>
      </c>
      <c r="C26" s="311" t="s">
        <v>1136</v>
      </c>
      <c r="D26" s="310" t="s">
        <v>1137</v>
      </c>
      <c r="E26" s="312" t="s">
        <v>1138</v>
      </c>
      <c r="F26" s="313" t="s">
        <v>1139</v>
      </c>
      <c r="G26" s="314"/>
      <c r="H26" s="310"/>
      <c r="I26" s="310"/>
      <c r="J26" s="310"/>
      <c r="K26" s="310"/>
      <c r="L26" s="310"/>
      <c r="M26" s="310"/>
      <c r="N26" s="310"/>
      <c r="O26" s="315"/>
    </row>
    <row r="27" spans="1:15" ht="20.25" customHeight="1">
      <c r="A27" s="19">
        <v>25</v>
      </c>
      <c r="B27" s="51" t="s">
        <v>1140</v>
      </c>
      <c r="C27" s="53" t="s">
        <v>1141</v>
      </c>
      <c r="D27" s="53" t="s">
        <v>1142</v>
      </c>
      <c r="E27" s="309" t="s">
        <v>1143</v>
      </c>
      <c r="F27" s="316" t="s">
        <v>1144</v>
      </c>
      <c r="G27" s="193"/>
      <c r="H27" s="193"/>
      <c r="I27" s="51"/>
      <c r="J27" s="51"/>
      <c r="K27" s="51"/>
      <c r="L27" s="51"/>
      <c r="M27" s="193"/>
      <c r="N27" s="51"/>
      <c r="O27" s="190"/>
    </row>
    <row r="28" spans="1:15" ht="20.25" customHeight="1">
      <c r="A28" s="19">
        <v>26</v>
      </c>
      <c r="B28" s="306" t="s">
        <v>1120</v>
      </c>
      <c r="C28" s="317" t="s">
        <v>1145</v>
      </c>
      <c r="D28" s="318" t="s">
        <v>1122</v>
      </c>
      <c r="E28" s="319" t="s">
        <v>1146</v>
      </c>
      <c r="F28" s="320" t="s">
        <v>1147</v>
      </c>
      <c r="G28" s="321"/>
      <c r="H28" s="322"/>
      <c r="I28" s="323"/>
      <c r="J28" s="323"/>
      <c r="K28" s="323"/>
      <c r="L28" s="323"/>
      <c r="M28" s="322"/>
      <c r="N28" s="322"/>
      <c r="O28" s="321"/>
    </row>
    <row r="29" spans="1:15" ht="20.25" customHeight="1">
      <c r="A29" s="324"/>
    </row>
  </sheetData>
  <mergeCells count="1">
    <mergeCell ref="K1:N1"/>
  </mergeCells>
  <phoneticPr fontId="11" type="noConversion"/>
  <hyperlinks>
    <hyperlink ref="F4" r:id="rId1" xr:uid="{3E859612-9E6E-4CE8-9DFC-CABC29A25B58}"/>
    <hyperlink ref="F5" r:id="rId2" xr:uid="{79426DDF-3F08-4CF7-927D-929E5BD881C8}"/>
    <hyperlink ref="F6" r:id="rId3" xr:uid="{8A1228B6-E4DA-404D-8E27-88909BDEE5E7}"/>
    <hyperlink ref="F7" r:id="rId4" xr:uid="{457964A5-0C5B-4F66-A05C-837220F1FEBB}"/>
    <hyperlink ref="F8" r:id="rId5" xr:uid="{09793BB7-F319-451E-B881-604117A68FC2}"/>
    <hyperlink ref="F9" r:id="rId6" xr:uid="{FAD065F8-1FBF-4E24-BCAA-97BDEBF14DE6}"/>
    <hyperlink ref="F10" r:id="rId7" xr:uid="{ACC37B34-A9AE-4A2D-9F22-FA3CF754F610}"/>
    <hyperlink ref="F11" r:id="rId8" xr:uid="{E6461464-226C-48F8-A110-CBE724AF7CC9}"/>
    <hyperlink ref="F13" r:id="rId9" xr:uid="{E7501746-2941-4974-A0F1-DFD265E934D0}"/>
    <hyperlink ref="F15" r:id="rId10" xr:uid="{16194EAD-A18F-42CA-B2B2-D179A5288F8D}"/>
    <hyperlink ref="F16" r:id="rId11" xr:uid="{A827C897-0C40-489A-9E85-98C54165A2CB}"/>
    <hyperlink ref="F18" r:id="rId12" xr:uid="{95B027DD-5CE3-472D-8BB0-34F917134EA3}"/>
    <hyperlink ref="F19" r:id="rId13" xr:uid="{B4904AC1-F3FE-4628-AEDD-3245AC06A6ED}"/>
    <hyperlink ref="F20" r:id="rId14" xr:uid="{8D500CB5-DBBB-473D-A8CD-28315C2DE587}"/>
    <hyperlink ref="F21" r:id="rId15" xr:uid="{B224AD0D-7AD2-4987-907C-8F2CDA84FF5D}"/>
    <hyperlink ref="F22" r:id="rId16" xr:uid="{DED5C0F1-A5BB-4588-8DB9-F7AE4FA2213C}"/>
    <hyperlink ref="F23" r:id="rId17" xr:uid="{999F3C69-1B7E-475F-87B5-B8652C78BC2C}"/>
    <hyperlink ref="F24" r:id="rId18" xr:uid="{3D34D80F-BB05-43BB-9B60-9ECB0FDBF973}"/>
    <hyperlink ref="F27" r:id="rId19" xr:uid="{351628DA-A77B-40C0-89B7-15BEC6E4E235}"/>
    <hyperlink ref="F26" r:id="rId20" xr:uid="{CE384EF6-CBFF-45B5-92D8-0874D8C56473}"/>
    <hyperlink ref="F25" r:id="rId21" xr:uid="{573C041B-F7DD-4046-ACAE-528EB25329F6}"/>
    <hyperlink ref="F28" r:id="rId22" xr:uid="{445F8E17-B7E3-480C-8103-7D1C00A5BEDB}"/>
    <hyperlink ref="F14" r:id="rId23" xr:uid="{71596D9E-84F7-4E2D-A3F4-BF0692F4C3FB}"/>
    <hyperlink ref="F17" r:id="rId24" xr:uid="{F29E93E0-38AE-4B08-B4DD-7600A0B5001D}"/>
  </hyperlinks>
  <pageMargins left="0.7" right="0.7" top="0.75" bottom="0.75" header="0.3" footer="0.3"/>
  <pageSetup paperSize="9" orientation="portrait" verticalDpi="0" r:id="rId25"/>
  <legacyDrawing r:id="rId2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E243A-3467-F44F-A6BC-FAD1CF64237C}">
  <sheetPr filterMode="1">
    <pageSetUpPr fitToPage="1"/>
  </sheetPr>
  <dimension ref="A1:Q201"/>
  <sheetViews>
    <sheetView zoomScaleNormal="100" zoomScaleSheetLayoutView="75" workbookViewId="0">
      <selection activeCell="D11" sqref="D11"/>
    </sheetView>
  </sheetViews>
  <sheetFormatPr defaultColWidth="9" defaultRowHeight="11.25"/>
  <cols>
    <col min="1" max="1" width="4" style="2" customWidth="1"/>
    <col min="2" max="2" width="20.625" style="5" customWidth="1"/>
    <col min="3" max="3" width="6.375" style="5" bestFit="1" customWidth="1"/>
    <col min="4" max="4" width="6.375" style="2" bestFit="1" customWidth="1"/>
    <col min="5" max="5" width="12.5" style="2" customWidth="1"/>
    <col min="6" max="6" width="13.5" style="2" customWidth="1"/>
    <col min="7" max="7" width="22.5" style="2" bestFit="1" customWidth="1"/>
    <col min="8" max="8" width="13.875" style="2" bestFit="1" customWidth="1"/>
    <col min="9" max="9" width="14.5" style="2" customWidth="1"/>
    <col min="10" max="10" width="6.375" style="2" customWidth="1"/>
    <col min="11" max="11" width="7.625" style="2" bestFit="1" customWidth="1"/>
    <col min="12" max="12" width="17.375" style="1" customWidth="1"/>
    <col min="13" max="13" width="6.375" style="1" customWidth="1"/>
    <col min="14" max="14" width="6.375" style="1" bestFit="1" customWidth="1"/>
    <col min="15" max="15" width="11.5" style="1" bestFit="1" customWidth="1"/>
    <col min="16" max="16" width="13" style="1" bestFit="1" customWidth="1"/>
    <col min="17" max="17" width="58.625" style="1" customWidth="1"/>
    <col min="18" max="16384" width="9" style="1"/>
  </cols>
  <sheetData>
    <row r="1" spans="1:17" s="3" customFormat="1" ht="27">
      <c r="A1" s="404" t="s">
        <v>451</v>
      </c>
      <c r="B1" s="405"/>
      <c r="C1" s="405"/>
      <c r="D1" s="405"/>
      <c r="E1" s="405"/>
      <c r="F1" s="405"/>
      <c r="G1" s="405"/>
      <c r="H1" s="405"/>
      <c r="I1" s="405"/>
      <c r="J1" s="405"/>
      <c r="K1" s="405"/>
      <c r="L1" s="405"/>
      <c r="M1" s="405"/>
      <c r="N1" s="405"/>
      <c r="O1" s="405"/>
      <c r="P1" s="405"/>
      <c r="Q1" s="406"/>
    </row>
    <row r="2" spans="1:17" s="4" customFormat="1" ht="22.5" customHeight="1">
      <c r="A2" s="8" t="s">
        <v>453</v>
      </c>
      <c r="B2" s="8" t="s">
        <v>454</v>
      </c>
      <c r="C2" s="8" t="s">
        <v>455</v>
      </c>
      <c r="D2" s="8" t="s">
        <v>456</v>
      </c>
      <c r="E2" s="8" t="s">
        <v>457</v>
      </c>
      <c r="F2" s="8" t="s">
        <v>458</v>
      </c>
      <c r="G2" s="8" t="s">
        <v>459</v>
      </c>
      <c r="H2" s="8" t="s">
        <v>1148</v>
      </c>
      <c r="I2" s="8" t="s">
        <v>1149</v>
      </c>
      <c r="J2" s="8" t="s">
        <v>461</v>
      </c>
      <c r="K2" s="8" t="s">
        <v>462</v>
      </c>
      <c r="L2" s="8" t="s">
        <v>463</v>
      </c>
      <c r="M2" s="8" t="s">
        <v>464</v>
      </c>
      <c r="N2" s="8" t="s">
        <v>6</v>
      </c>
      <c r="O2" s="8" t="s">
        <v>466</v>
      </c>
      <c r="P2" s="8" t="s">
        <v>467</v>
      </c>
      <c r="Q2" s="15" t="s">
        <v>468</v>
      </c>
    </row>
    <row r="3" spans="1:17" s="3" customFormat="1" ht="69.95" customHeight="1">
      <c r="A3" s="19">
        <v>1</v>
      </c>
      <c r="B3" s="21" t="s">
        <v>372</v>
      </c>
      <c r="C3" s="21" t="s">
        <v>469</v>
      </c>
      <c r="D3" s="27" t="s">
        <v>837</v>
      </c>
      <c r="E3" s="21" t="s">
        <v>470</v>
      </c>
      <c r="F3" s="21" t="s">
        <v>1150</v>
      </c>
      <c r="G3" s="20" t="s">
        <v>1151</v>
      </c>
      <c r="H3" s="20" t="s">
        <v>1152</v>
      </c>
      <c r="I3" s="21" t="s">
        <v>473</v>
      </c>
      <c r="J3" s="21">
        <v>1</v>
      </c>
      <c r="K3" s="21" t="s">
        <v>474</v>
      </c>
      <c r="L3" s="21" t="s">
        <v>475</v>
      </c>
      <c r="M3" s="21" t="s">
        <v>476</v>
      </c>
      <c r="N3" s="21" t="s">
        <v>14</v>
      </c>
      <c r="O3" s="21" t="s">
        <v>477</v>
      </c>
      <c r="P3" s="21"/>
      <c r="Q3" s="35" t="s">
        <v>478</v>
      </c>
    </row>
    <row r="4" spans="1:17" s="3" customFormat="1" ht="57.95" customHeight="1">
      <c r="A4" s="33"/>
      <c r="B4" s="21" t="s">
        <v>372</v>
      </c>
      <c r="C4" s="21" t="s">
        <v>469</v>
      </c>
      <c r="D4" s="27" t="s">
        <v>837</v>
      </c>
      <c r="E4" s="21" t="s">
        <v>470</v>
      </c>
      <c r="F4" s="21" t="s">
        <v>1150</v>
      </c>
      <c r="G4" s="20" t="s">
        <v>1151</v>
      </c>
      <c r="H4" s="20"/>
      <c r="I4" s="21" t="s">
        <v>12</v>
      </c>
      <c r="J4" s="21">
        <v>3</v>
      </c>
      <c r="K4" s="21" t="s">
        <v>479</v>
      </c>
      <c r="L4" s="21" t="s">
        <v>480</v>
      </c>
      <c r="M4" s="21" t="s">
        <v>476</v>
      </c>
      <c r="N4" s="21" t="s">
        <v>14</v>
      </c>
      <c r="O4" s="21" t="s">
        <v>477</v>
      </c>
      <c r="P4" s="21"/>
      <c r="Q4" s="35" t="s">
        <v>481</v>
      </c>
    </row>
    <row r="5" spans="1:17" s="3" customFormat="1" ht="42" customHeight="1">
      <c r="A5" s="19">
        <v>2</v>
      </c>
      <c r="B5" s="23" t="s">
        <v>373</v>
      </c>
      <c r="C5" s="23" t="s">
        <v>469</v>
      </c>
      <c r="D5" s="24" t="s">
        <v>80</v>
      </c>
      <c r="E5" s="24" t="s">
        <v>482</v>
      </c>
      <c r="F5" s="24"/>
      <c r="G5" s="25" t="s">
        <v>483</v>
      </c>
      <c r="H5" s="25"/>
      <c r="I5" s="23" t="s">
        <v>81</v>
      </c>
      <c r="J5" s="23">
        <v>1</v>
      </c>
      <c r="K5" s="23" t="s">
        <v>479</v>
      </c>
      <c r="L5" s="23" t="s">
        <v>484</v>
      </c>
      <c r="M5" s="23" t="s">
        <v>476</v>
      </c>
      <c r="N5" s="23" t="s">
        <v>14</v>
      </c>
      <c r="O5" s="23" t="s">
        <v>477</v>
      </c>
      <c r="P5" s="23" t="s">
        <v>485</v>
      </c>
      <c r="Q5" s="26" t="s">
        <v>1153</v>
      </c>
    </row>
    <row r="6" spans="1:17" s="3" customFormat="1" ht="22.5" customHeight="1">
      <c r="A6" s="19">
        <v>3</v>
      </c>
      <c r="B6" s="27" t="s">
        <v>374</v>
      </c>
      <c r="C6" s="21" t="s">
        <v>469</v>
      </c>
      <c r="D6" s="27" t="s">
        <v>277</v>
      </c>
      <c r="E6" s="27" t="s">
        <v>487</v>
      </c>
      <c r="F6" s="27" t="s">
        <v>488</v>
      </c>
      <c r="G6" s="20" t="s">
        <v>489</v>
      </c>
      <c r="H6" s="20" t="s">
        <v>1152</v>
      </c>
      <c r="I6" s="21" t="s">
        <v>58</v>
      </c>
      <c r="J6" s="21">
        <v>1</v>
      </c>
      <c r="K6" s="21" t="s">
        <v>479</v>
      </c>
      <c r="L6" s="21" t="s">
        <v>484</v>
      </c>
      <c r="M6" s="21" t="s">
        <v>476</v>
      </c>
      <c r="N6" s="21" t="s">
        <v>14</v>
      </c>
      <c r="O6" s="21" t="s">
        <v>477</v>
      </c>
      <c r="P6" s="21"/>
      <c r="Q6" s="35"/>
    </row>
    <row r="7" spans="1:17" s="3" customFormat="1" ht="12">
      <c r="A7" s="19"/>
      <c r="B7" s="27" t="s">
        <v>374</v>
      </c>
      <c r="C7" s="21" t="s">
        <v>469</v>
      </c>
      <c r="D7" s="27" t="s">
        <v>277</v>
      </c>
      <c r="E7" s="27" t="s">
        <v>487</v>
      </c>
      <c r="F7" s="27" t="s">
        <v>488</v>
      </c>
      <c r="G7" s="108" t="s">
        <v>489</v>
      </c>
      <c r="H7" s="20" t="s">
        <v>1152</v>
      </c>
      <c r="I7" s="21" t="s">
        <v>58</v>
      </c>
      <c r="J7" s="21">
        <v>1</v>
      </c>
      <c r="K7" s="21" t="s">
        <v>1154</v>
      </c>
      <c r="L7" s="21" t="s">
        <v>484</v>
      </c>
      <c r="M7" s="21" t="s">
        <v>476</v>
      </c>
      <c r="N7" s="21" t="s">
        <v>14</v>
      </c>
      <c r="O7" s="21" t="s">
        <v>477</v>
      </c>
      <c r="P7" s="21"/>
      <c r="Q7" s="35"/>
    </row>
    <row r="8" spans="1:17" s="3" customFormat="1" ht="12">
      <c r="A8" s="19"/>
      <c r="B8" s="27" t="s">
        <v>374</v>
      </c>
      <c r="C8" s="21" t="s">
        <v>469</v>
      </c>
      <c r="D8" s="27" t="s">
        <v>277</v>
      </c>
      <c r="E8" s="27" t="s">
        <v>487</v>
      </c>
      <c r="F8" s="27" t="s">
        <v>488</v>
      </c>
      <c r="G8" s="108" t="s">
        <v>489</v>
      </c>
      <c r="H8" s="20" t="s">
        <v>1152</v>
      </c>
      <c r="I8" s="21" t="s">
        <v>51</v>
      </c>
      <c r="J8" s="21">
        <v>1</v>
      </c>
      <c r="K8" s="21" t="s">
        <v>474</v>
      </c>
      <c r="L8" s="21" t="s">
        <v>492</v>
      </c>
      <c r="M8" s="21" t="s">
        <v>476</v>
      </c>
      <c r="N8" s="21" t="s">
        <v>53</v>
      </c>
      <c r="O8" s="21" t="s">
        <v>477</v>
      </c>
      <c r="P8" s="21"/>
      <c r="Q8" s="35" t="s">
        <v>1155</v>
      </c>
    </row>
    <row r="9" spans="1:17" s="3" customFormat="1" ht="12">
      <c r="A9" s="19">
        <v>4</v>
      </c>
      <c r="B9" s="23" t="s">
        <v>375</v>
      </c>
      <c r="C9" s="23" t="s">
        <v>469</v>
      </c>
      <c r="D9" s="24" t="s">
        <v>57</v>
      </c>
      <c r="E9" s="24" t="s">
        <v>494</v>
      </c>
      <c r="F9" s="24"/>
      <c r="G9" s="123" t="s">
        <v>495</v>
      </c>
      <c r="H9" s="25" t="s">
        <v>1152</v>
      </c>
      <c r="I9" s="23" t="s">
        <v>58</v>
      </c>
      <c r="J9" s="23">
        <v>1</v>
      </c>
      <c r="K9" s="23" t="s">
        <v>479</v>
      </c>
      <c r="L9" s="23" t="s">
        <v>484</v>
      </c>
      <c r="M9" s="23" t="s">
        <v>476</v>
      </c>
      <c r="N9" s="23" t="s">
        <v>14</v>
      </c>
      <c r="O9" s="23" t="s">
        <v>477</v>
      </c>
      <c r="P9" s="23"/>
      <c r="Q9" s="26"/>
    </row>
    <row r="10" spans="1:17" s="3" customFormat="1" ht="22.5" customHeight="1">
      <c r="A10" s="19">
        <v>5</v>
      </c>
      <c r="B10" s="21" t="s">
        <v>376</v>
      </c>
      <c r="C10" s="21" t="s">
        <v>469</v>
      </c>
      <c r="D10" s="27" t="s">
        <v>1156</v>
      </c>
      <c r="E10" s="21" t="s">
        <v>497</v>
      </c>
      <c r="F10" s="21" t="s">
        <v>1157</v>
      </c>
      <c r="G10" s="20" t="s">
        <v>499</v>
      </c>
      <c r="H10" s="20" t="s">
        <v>1152</v>
      </c>
      <c r="I10" s="21" t="s">
        <v>58</v>
      </c>
      <c r="J10" s="21">
        <v>2</v>
      </c>
      <c r="K10" s="21" t="s">
        <v>500</v>
      </c>
      <c r="L10" s="21" t="s">
        <v>484</v>
      </c>
      <c r="M10" s="21" t="s">
        <v>476</v>
      </c>
      <c r="N10" s="21" t="s">
        <v>14</v>
      </c>
      <c r="O10" s="21" t="s">
        <v>477</v>
      </c>
      <c r="P10" s="21"/>
      <c r="Q10" s="22"/>
    </row>
    <row r="11" spans="1:17" s="3" customFormat="1" ht="22.5" customHeight="1">
      <c r="A11" s="19">
        <v>6</v>
      </c>
      <c r="B11" s="24" t="s">
        <v>378</v>
      </c>
      <c r="C11" s="24" t="s">
        <v>469</v>
      </c>
      <c r="D11" s="24" t="s">
        <v>501</v>
      </c>
      <c r="E11" s="23" t="s">
        <v>502</v>
      </c>
      <c r="F11" s="23" t="s">
        <v>503</v>
      </c>
      <c r="G11" s="28"/>
      <c r="H11" s="28"/>
      <c r="I11" s="23" t="s">
        <v>504</v>
      </c>
      <c r="J11" s="23">
        <v>1</v>
      </c>
      <c r="K11" s="23" t="s">
        <v>479</v>
      </c>
      <c r="L11" s="23" t="s">
        <v>505</v>
      </c>
      <c r="M11" s="23" t="s">
        <v>72</v>
      </c>
      <c r="N11" s="23" t="s">
        <v>14</v>
      </c>
      <c r="O11" s="23" t="s">
        <v>506</v>
      </c>
      <c r="P11" s="23"/>
      <c r="Q11" s="26" t="s">
        <v>507</v>
      </c>
    </row>
    <row r="12" spans="1:17" s="3" customFormat="1" ht="22.5" customHeight="1">
      <c r="A12" s="19">
        <v>7</v>
      </c>
      <c r="B12" s="21" t="s">
        <v>43</v>
      </c>
      <c r="C12" s="21" t="s">
        <v>469</v>
      </c>
      <c r="D12" s="27" t="s">
        <v>44</v>
      </c>
      <c r="E12" s="27" t="s">
        <v>508</v>
      </c>
      <c r="F12" s="27" t="s">
        <v>1158</v>
      </c>
      <c r="G12" s="20"/>
      <c r="H12" s="20"/>
      <c r="I12" s="21" t="s">
        <v>45</v>
      </c>
      <c r="J12" s="21">
        <v>1</v>
      </c>
      <c r="K12" s="21" t="s">
        <v>510</v>
      </c>
      <c r="L12" s="21" t="s">
        <v>511</v>
      </c>
      <c r="M12" s="21" t="s">
        <v>476</v>
      </c>
      <c r="N12" s="21" t="s">
        <v>14</v>
      </c>
      <c r="O12" s="21" t="s">
        <v>506</v>
      </c>
      <c r="P12" s="21"/>
      <c r="Q12" s="35" t="s">
        <v>513</v>
      </c>
    </row>
    <row r="13" spans="1:17" s="3" customFormat="1" ht="22.5" customHeight="1">
      <c r="A13" s="19">
        <v>8</v>
      </c>
      <c r="B13" s="21" t="s">
        <v>380</v>
      </c>
      <c r="C13" s="21" t="s">
        <v>469</v>
      </c>
      <c r="D13" s="27" t="s">
        <v>97</v>
      </c>
      <c r="E13" s="21" t="s">
        <v>514</v>
      </c>
      <c r="F13" s="21" t="s">
        <v>515</v>
      </c>
      <c r="G13" s="20" t="s">
        <v>516</v>
      </c>
      <c r="H13" s="20" t="s">
        <v>1159</v>
      </c>
      <c r="I13" s="21" t="s">
        <v>100</v>
      </c>
      <c r="J13" s="21">
        <v>1</v>
      </c>
      <c r="K13" s="21" t="s">
        <v>479</v>
      </c>
      <c r="L13" s="21" t="s">
        <v>511</v>
      </c>
      <c r="M13" s="21" t="s">
        <v>476</v>
      </c>
      <c r="N13" s="21" t="s">
        <v>14</v>
      </c>
      <c r="O13" s="21" t="s">
        <v>506</v>
      </c>
      <c r="P13" s="21"/>
      <c r="Q13" s="35"/>
    </row>
    <row r="14" spans="1:17" s="3" customFormat="1" ht="22.5" hidden="1" customHeight="1">
      <c r="A14" s="19"/>
      <c r="B14" s="21" t="s">
        <v>380</v>
      </c>
      <c r="C14" s="21" t="s">
        <v>469</v>
      </c>
      <c r="D14" s="27" t="s">
        <v>97</v>
      </c>
      <c r="E14" s="21" t="s">
        <v>514</v>
      </c>
      <c r="F14" s="21" t="s">
        <v>515</v>
      </c>
      <c r="G14" s="20" t="s">
        <v>516</v>
      </c>
      <c r="H14" s="20" t="s">
        <v>1159</v>
      </c>
      <c r="I14" s="21" t="s">
        <v>100</v>
      </c>
      <c r="J14" s="21">
        <v>1</v>
      </c>
      <c r="K14" s="21" t="s">
        <v>1154</v>
      </c>
      <c r="L14" s="21"/>
      <c r="M14" s="21"/>
      <c r="N14" s="21"/>
      <c r="O14" s="21"/>
      <c r="P14" s="21"/>
      <c r="Q14" s="35"/>
    </row>
    <row r="15" spans="1:17" s="3" customFormat="1" ht="22.5" customHeight="1">
      <c r="A15" s="19">
        <v>9</v>
      </c>
      <c r="B15" s="23" t="s">
        <v>379</v>
      </c>
      <c r="C15" s="23" t="s">
        <v>469</v>
      </c>
      <c r="D15" s="24" t="s">
        <v>517</v>
      </c>
      <c r="E15" s="23" t="s">
        <v>518</v>
      </c>
      <c r="F15" s="23" t="s">
        <v>519</v>
      </c>
      <c r="G15" s="25" t="s">
        <v>520</v>
      </c>
      <c r="H15" s="25" t="s">
        <v>1159</v>
      </c>
      <c r="I15" s="23" t="s">
        <v>100</v>
      </c>
      <c r="J15" s="23">
        <v>1</v>
      </c>
      <c r="K15" s="23" t="s">
        <v>479</v>
      </c>
      <c r="L15" s="23" t="s">
        <v>522</v>
      </c>
      <c r="M15" s="23" t="s">
        <v>476</v>
      </c>
      <c r="N15" s="23" t="s">
        <v>14</v>
      </c>
      <c r="O15" s="23" t="s">
        <v>506</v>
      </c>
      <c r="P15" s="23"/>
      <c r="Q15" s="34"/>
    </row>
    <row r="16" spans="1:17" s="3" customFormat="1" ht="22.5" customHeight="1">
      <c r="A16" s="19">
        <v>9</v>
      </c>
      <c r="B16" s="23" t="s">
        <v>379</v>
      </c>
      <c r="C16" s="23" t="s">
        <v>469</v>
      </c>
      <c r="D16" s="24" t="s">
        <v>517</v>
      </c>
      <c r="E16" s="23" t="s">
        <v>518</v>
      </c>
      <c r="F16" s="23" t="s">
        <v>519</v>
      </c>
      <c r="G16" s="25" t="s">
        <v>520</v>
      </c>
      <c r="H16" s="25" t="s">
        <v>1159</v>
      </c>
      <c r="I16" s="23" t="s">
        <v>100</v>
      </c>
      <c r="J16" s="23">
        <v>2</v>
      </c>
      <c r="K16" s="23" t="s">
        <v>500</v>
      </c>
      <c r="L16" s="23" t="s">
        <v>522</v>
      </c>
      <c r="M16" s="23" t="s">
        <v>476</v>
      </c>
      <c r="N16" s="23" t="s">
        <v>14</v>
      </c>
      <c r="O16" s="23" t="s">
        <v>506</v>
      </c>
      <c r="P16" s="23"/>
      <c r="Q16" s="34"/>
    </row>
    <row r="17" spans="1:17" s="3" customFormat="1" ht="22.5" customHeight="1">
      <c r="A17" s="19">
        <v>9</v>
      </c>
      <c r="B17" s="23" t="s">
        <v>379</v>
      </c>
      <c r="C17" s="23" t="s">
        <v>469</v>
      </c>
      <c r="D17" s="24" t="s">
        <v>517</v>
      </c>
      <c r="E17" s="23" t="s">
        <v>518</v>
      </c>
      <c r="F17" s="23" t="s">
        <v>519</v>
      </c>
      <c r="G17" s="25" t="s">
        <v>520</v>
      </c>
      <c r="H17" s="25" t="s">
        <v>1159</v>
      </c>
      <c r="I17" s="23" t="s">
        <v>100</v>
      </c>
      <c r="J17" s="23">
        <v>1</v>
      </c>
      <c r="K17" s="23" t="s">
        <v>474</v>
      </c>
      <c r="L17" s="23" t="s">
        <v>522</v>
      </c>
      <c r="M17" s="23" t="s">
        <v>476</v>
      </c>
      <c r="N17" s="23" t="s">
        <v>14</v>
      </c>
      <c r="O17" s="23" t="s">
        <v>506</v>
      </c>
      <c r="P17" s="23"/>
      <c r="Q17" s="34"/>
    </row>
    <row r="18" spans="1:17" s="3" customFormat="1" ht="22.5" customHeight="1">
      <c r="A18" s="19">
        <v>9</v>
      </c>
      <c r="B18" s="23" t="s">
        <v>379</v>
      </c>
      <c r="C18" s="23" t="s">
        <v>469</v>
      </c>
      <c r="D18" s="24" t="s">
        <v>517</v>
      </c>
      <c r="E18" s="23" t="s">
        <v>518</v>
      </c>
      <c r="F18" s="23" t="s">
        <v>519</v>
      </c>
      <c r="G18" s="25" t="s">
        <v>520</v>
      </c>
      <c r="H18" s="25" t="s">
        <v>1160</v>
      </c>
      <c r="I18" s="29" t="s">
        <v>473</v>
      </c>
      <c r="J18" s="23">
        <v>2</v>
      </c>
      <c r="K18" s="23" t="s">
        <v>525</v>
      </c>
      <c r="L18" s="23" t="s">
        <v>526</v>
      </c>
      <c r="M18" s="23" t="s">
        <v>476</v>
      </c>
      <c r="N18" s="23" t="s">
        <v>14</v>
      </c>
      <c r="O18" s="23" t="s">
        <v>506</v>
      </c>
      <c r="P18" s="23"/>
      <c r="Q18" s="34"/>
    </row>
    <row r="19" spans="1:17" s="3" customFormat="1" ht="12">
      <c r="A19" s="19"/>
      <c r="B19" s="23" t="s">
        <v>379</v>
      </c>
      <c r="C19" s="23" t="s">
        <v>469</v>
      </c>
      <c r="D19" s="24" t="s">
        <v>517</v>
      </c>
      <c r="E19" s="23" t="s">
        <v>518</v>
      </c>
      <c r="F19" s="23" t="s">
        <v>519</v>
      </c>
      <c r="G19" s="25"/>
      <c r="H19" s="25"/>
      <c r="I19" s="29" t="s">
        <v>473</v>
      </c>
      <c r="J19" s="23">
        <v>2</v>
      </c>
      <c r="K19" s="23" t="s">
        <v>525</v>
      </c>
      <c r="L19" s="23" t="s">
        <v>526</v>
      </c>
      <c r="M19" s="23" t="s">
        <v>476</v>
      </c>
      <c r="N19" s="23" t="s">
        <v>14</v>
      </c>
      <c r="O19" s="23" t="s">
        <v>506</v>
      </c>
      <c r="P19" s="23"/>
      <c r="Q19" s="34"/>
    </row>
    <row r="20" spans="1:17" s="3" customFormat="1" ht="22.5">
      <c r="A20" s="19">
        <v>10</v>
      </c>
      <c r="B20" s="21" t="s">
        <v>383</v>
      </c>
      <c r="C20" s="21" t="s">
        <v>469</v>
      </c>
      <c r="D20" s="27" t="s">
        <v>527</v>
      </c>
      <c r="E20" s="21" t="s">
        <v>528</v>
      </c>
      <c r="F20" s="21" t="s">
        <v>529</v>
      </c>
      <c r="G20" s="30"/>
      <c r="H20" s="30"/>
      <c r="I20" s="21" t="s">
        <v>71</v>
      </c>
      <c r="J20" s="21">
        <v>1</v>
      </c>
      <c r="K20" s="21" t="s">
        <v>479</v>
      </c>
      <c r="L20" s="21" t="s">
        <v>530</v>
      </c>
      <c r="M20" s="21" t="s">
        <v>72</v>
      </c>
      <c r="N20" s="21" t="s">
        <v>523</v>
      </c>
      <c r="O20" s="21" t="s">
        <v>1161</v>
      </c>
      <c r="P20" s="21"/>
      <c r="Q20" s="22" t="s">
        <v>532</v>
      </c>
    </row>
    <row r="21" spans="1:17" s="3" customFormat="1" ht="12" customHeight="1">
      <c r="A21" s="19">
        <v>11</v>
      </c>
      <c r="B21" s="24" t="s">
        <v>381</v>
      </c>
      <c r="C21" s="24" t="s">
        <v>469</v>
      </c>
      <c r="D21" s="23" t="s">
        <v>120</v>
      </c>
      <c r="E21" s="23" t="s">
        <v>533</v>
      </c>
      <c r="F21" s="23" t="s">
        <v>534</v>
      </c>
      <c r="G21" s="28" t="s">
        <v>535</v>
      </c>
      <c r="H21" s="28" t="s">
        <v>1159</v>
      </c>
      <c r="I21" s="23" t="s">
        <v>100</v>
      </c>
      <c r="J21" s="23">
        <v>1</v>
      </c>
      <c r="K21" s="23" t="s">
        <v>500</v>
      </c>
      <c r="L21" s="23" t="s">
        <v>536</v>
      </c>
      <c r="M21" s="23" t="s">
        <v>537</v>
      </c>
      <c r="N21" s="23" t="s">
        <v>14</v>
      </c>
      <c r="O21" s="23" t="s">
        <v>506</v>
      </c>
      <c r="P21" s="23"/>
      <c r="Q21" s="34" t="s">
        <v>1162</v>
      </c>
    </row>
    <row r="22" spans="1:17" s="3" customFormat="1" ht="33.950000000000003" customHeight="1">
      <c r="A22" s="19"/>
      <c r="B22" s="24" t="s">
        <v>381</v>
      </c>
      <c r="C22" s="24" t="s">
        <v>469</v>
      </c>
      <c r="D22" s="23" t="s">
        <v>224</v>
      </c>
      <c r="E22" s="23" t="s">
        <v>533</v>
      </c>
      <c r="F22" s="23" t="s">
        <v>1163</v>
      </c>
      <c r="G22" s="123" t="s">
        <v>541</v>
      </c>
      <c r="H22" s="28" t="s">
        <v>1164</v>
      </c>
      <c r="I22" s="23" t="s">
        <v>111</v>
      </c>
      <c r="J22" s="23">
        <v>1</v>
      </c>
      <c r="K22" s="23" t="s">
        <v>479</v>
      </c>
      <c r="L22" s="23" t="s">
        <v>505</v>
      </c>
      <c r="M22" s="23" t="s">
        <v>537</v>
      </c>
      <c r="N22" s="23" t="s">
        <v>14</v>
      </c>
      <c r="O22" s="23" t="s">
        <v>506</v>
      </c>
      <c r="P22" s="23"/>
      <c r="Q22" s="34"/>
    </row>
    <row r="23" spans="1:17" s="3" customFormat="1" ht="29.25" customHeight="1">
      <c r="A23" s="19">
        <v>12</v>
      </c>
      <c r="B23" s="21" t="s">
        <v>382</v>
      </c>
      <c r="C23" s="21" t="s">
        <v>469</v>
      </c>
      <c r="D23" s="27" t="s">
        <v>542</v>
      </c>
      <c r="E23" s="21" t="s">
        <v>543</v>
      </c>
      <c r="F23" s="21" t="s">
        <v>544</v>
      </c>
      <c r="G23" s="20" t="s">
        <v>545</v>
      </c>
      <c r="H23" s="20" t="s">
        <v>1165</v>
      </c>
      <c r="I23" s="21" t="s">
        <v>225</v>
      </c>
      <c r="J23" s="21">
        <v>6</v>
      </c>
      <c r="K23" s="21" t="s">
        <v>479</v>
      </c>
      <c r="L23" s="21" t="s">
        <v>546</v>
      </c>
      <c r="M23" s="21" t="s">
        <v>476</v>
      </c>
      <c r="N23" s="21" t="s">
        <v>14</v>
      </c>
      <c r="O23" s="21" t="s">
        <v>506</v>
      </c>
      <c r="P23" s="21"/>
      <c r="Q23" s="22" t="s">
        <v>547</v>
      </c>
    </row>
    <row r="24" spans="1:17" s="3" customFormat="1" ht="22.5" hidden="1" customHeight="1">
      <c r="A24" s="19">
        <v>13</v>
      </c>
      <c r="B24" s="24" t="s">
        <v>548</v>
      </c>
      <c r="C24" s="24" t="s">
        <v>469</v>
      </c>
      <c r="D24" s="24" t="s">
        <v>549</v>
      </c>
      <c r="E24" s="23" t="s">
        <v>550</v>
      </c>
      <c r="F24" s="23" t="s">
        <v>551</v>
      </c>
      <c r="G24" s="25" t="s">
        <v>552</v>
      </c>
      <c r="H24" s="25" t="s">
        <v>1159</v>
      </c>
      <c r="I24" s="23" t="s">
        <v>293</v>
      </c>
      <c r="J24" s="23">
        <v>1</v>
      </c>
      <c r="K24" s="23" t="s">
        <v>474</v>
      </c>
      <c r="L24" s="23" t="s">
        <v>492</v>
      </c>
      <c r="M24" s="23" t="s">
        <v>553</v>
      </c>
      <c r="N24" s="23" t="s">
        <v>53</v>
      </c>
      <c r="O24" s="23" t="s">
        <v>506</v>
      </c>
      <c r="P24" s="23"/>
      <c r="Q24" s="34" t="s">
        <v>1166</v>
      </c>
    </row>
    <row r="25" spans="1:17" s="3" customFormat="1" ht="22.5" hidden="1" customHeight="1">
      <c r="A25" s="19">
        <v>13</v>
      </c>
      <c r="B25" s="24" t="s">
        <v>548</v>
      </c>
      <c r="C25" s="24" t="s">
        <v>469</v>
      </c>
      <c r="D25" s="24" t="s">
        <v>549</v>
      </c>
      <c r="E25" s="23" t="s">
        <v>550</v>
      </c>
      <c r="F25" s="23" t="s">
        <v>551</v>
      </c>
      <c r="G25" s="25" t="s">
        <v>552</v>
      </c>
      <c r="H25" s="25" t="s">
        <v>1159</v>
      </c>
      <c r="I25" s="23" t="s">
        <v>293</v>
      </c>
      <c r="J25" s="23">
        <v>1</v>
      </c>
      <c r="K25" s="23" t="s">
        <v>585</v>
      </c>
      <c r="L25" s="23" t="s">
        <v>492</v>
      </c>
      <c r="M25" s="23" t="s">
        <v>553</v>
      </c>
      <c r="N25" s="23" t="s">
        <v>53</v>
      </c>
      <c r="O25" s="23" t="s">
        <v>506</v>
      </c>
      <c r="P25" s="23"/>
      <c r="Q25" s="34" t="s">
        <v>1166</v>
      </c>
    </row>
    <row r="26" spans="1:17" s="3" customFormat="1" ht="12" hidden="1" customHeight="1">
      <c r="A26" s="19"/>
      <c r="B26" s="24" t="s">
        <v>548</v>
      </c>
      <c r="C26" s="24" t="s">
        <v>469</v>
      </c>
      <c r="D26" s="24" t="s">
        <v>549</v>
      </c>
      <c r="E26" s="23" t="s">
        <v>550</v>
      </c>
      <c r="F26" s="23" t="s">
        <v>551</v>
      </c>
      <c r="G26" s="25" t="s">
        <v>552</v>
      </c>
      <c r="H26" s="25" t="s">
        <v>1152</v>
      </c>
      <c r="I26" s="23" t="s">
        <v>555</v>
      </c>
      <c r="J26" s="23">
        <v>1</v>
      </c>
      <c r="K26" s="23" t="s">
        <v>500</v>
      </c>
      <c r="L26" s="23" t="s">
        <v>492</v>
      </c>
      <c r="M26" s="23" t="s">
        <v>553</v>
      </c>
      <c r="N26" s="23" t="s">
        <v>53</v>
      </c>
      <c r="O26" s="23" t="s">
        <v>506</v>
      </c>
      <c r="P26" s="23"/>
      <c r="Q26" s="34" t="s">
        <v>556</v>
      </c>
    </row>
    <row r="27" spans="1:17" s="3" customFormat="1" ht="12.95" hidden="1" customHeight="1">
      <c r="A27" s="19"/>
      <c r="B27" s="24" t="s">
        <v>548</v>
      </c>
      <c r="C27" s="24" t="s">
        <v>469</v>
      </c>
      <c r="D27" s="24" t="s">
        <v>549</v>
      </c>
      <c r="E27" s="23" t="s">
        <v>550</v>
      </c>
      <c r="F27" s="23" t="s">
        <v>551</v>
      </c>
      <c r="G27" s="25" t="s">
        <v>552</v>
      </c>
      <c r="H27" s="25" t="s">
        <v>1167</v>
      </c>
      <c r="I27" s="23" t="s">
        <v>557</v>
      </c>
      <c r="J27" s="23">
        <v>2</v>
      </c>
      <c r="K27" s="23" t="s">
        <v>500</v>
      </c>
      <c r="L27" s="23" t="s">
        <v>492</v>
      </c>
      <c r="M27" s="23" t="s">
        <v>553</v>
      </c>
      <c r="N27" s="23" t="s">
        <v>53</v>
      </c>
      <c r="O27" s="23" t="s">
        <v>506</v>
      </c>
      <c r="P27" s="23"/>
      <c r="Q27" s="34" t="s">
        <v>558</v>
      </c>
    </row>
    <row r="28" spans="1:17" s="3" customFormat="1" ht="12.95" customHeight="1">
      <c r="A28" s="19"/>
      <c r="B28" s="24" t="s">
        <v>548</v>
      </c>
      <c r="C28" s="24" t="s">
        <v>469</v>
      </c>
      <c r="D28" s="24" t="s">
        <v>549</v>
      </c>
      <c r="E28" s="23" t="s">
        <v>550</v>
      </c>
      <c r="F28" s="23" t="s">
        <v>551</v>
      </c>
      <c r="G28" s="25" t="s">
        <v>552</v>
      </c>
      <c r="H28" s="25"/>
      <c r="I28" s="23" t="s">
        <v>559</v>
      </c>
      <c r="J28" s="23">
        <v>3</v>
      </c>
      <c r="K28" s="23" t="s">
        <v>500</v>
      </c>
      <c r="L28" s="23" t="s">
        <v>560</v>
      </c>
      <c r="M28" s="23" t="s">
        <v>553</v>
      </c>
      <c r="N28" s="23" t="s">
        <v>14</v>
      </c>
      <c r="O28" s="23" t="s">
        <v>506</v>
      </c>
      <c r="P28" s="23"/>
      <c r="Q28" s="34"/>
    </row>
    <row r="29" spans="1:17" s="3" customFormat="1" ht="12.95" customHeight="1">
      <c r="A29" s="19"/>
      <c r="B29" s="24" t="s">
        <v>548</v>
      </c>
      <c r="C29" s="24" t="s">
        <v>469</v>
      </c>
      <c r="D29" s="24" t="s">
        <v>549</v>
      </c>
      <c r="E29" s="23" t="s">
        <v>550</v>
      </c>
      <c r="F29" s="23" t="s">
        <v>551</v>
      </c>
      <c r="G29" s="25" t="s">
        <v>552</v>
      </c>
      <c r="H29" s="25"/>
      <c r="I29" s="23" t="s">
        <v>561</v>
      </c>
      <c r="J29" s="23">
        <v>1</v>
      </c>
      <c r="K29" s="23" t="s">
        <v>500</v>
      </c>
      <c r="L29" s="23" t="s">
        <v>560</v>
      </c>
      <c r="M29" s="23" t="s">
        <v>553</v>
      </c>
      <c r="N29" s="23" t="s">
        <v>14</v>
      </c>
      <c r="O29" s="23" t="s">
        <v>506</v>
      </c>
      <c r="P29" s="23"/>
      <c r="Q29" s="34"/>
    </row>
    <row r="30" spans="1:17" s="3" customFormat="1" ht="22.5" customHeight="1">
      <c r="A30" s="19">
        <v>14</v>
      </c>
      <c r="B30" s="27" t="s">
        <v>388</v>
      </c>
      <c r="C30" s="27" t="s">
        <v>469</v>
      </c>
      <c r="D30" s="27" t="s">
        <v>562</v>
      </c>
      <c r="E30" s="21" t="s">
        <v>563</v>
      </c>
      <c r="F30" s="21" t="s">
        <v>564</v>
      </c>
      <c r="G30" s="20" t="s">
        <v>565</v>
      </c>
      <c r="H30" s="20"/>
      <c r="I30" s="21" t="s">
        <v>20</v>
      </c>
      <c r="J30" s="21">
        <v>1</v>
      </c>
      <c r="K30" s="21" t="s">
        <v>479</v>
      </c>
      <c r="L30" s="21" t="s">
        <v>530</v>
      </c>
      <c r="M30" s="21" t="s">
        <v>476</v>
      </c>
      <c r="N30" s="21" t="s">
        <v>14</v>
      </c>
      <c r="O30" s="21" t="s">
        <v>506</v>
      </c>
      <c r="P30" s="21"/>
      <c r="Q30" s="22" t="s">
        <v>566</v>
      </c>
    </row>
    <row r="31" spans="1:17" s="3" customFormat="1" ht="78.75">
      <c r="A31" s="19">
        <v>15</v>
      </c>
      <c r="B31" s="23" t="s">
        <v>385</v>
      </c>
      <c r="C31" s="23" t="s">
        <v>469</v>
      </c>
      <c r="D31" s="23" t="s">
        <v>1168</v>
      </c>
      <c r="E31" s="23"/>
      <c r="F31" s="23" t="s">
        <v>1169</v>
      </c>
      <c r="G31" s="28" t="s">
        <v>1170</v>
      </c>
      <c r="H31" s="28"/>
      <c r="I31" s="23" t="s">
        <v>570</v>
      </c>
      <c r="J31" s="23">
        <v>2</v>
      </c>
      <c r="K31" s="23" t="s">
        <v>571</v>
      </c>
      <c r="L31" s="23" t="s">
        <v>536</v>
      </c>
      <c r="M31" s="23" t="s">
        <v>476</v>
      </c>
      <c r="N31" s="23" t="s">
        <v>14</v>
      </c>
      <c r="O31" s="23" t="s">
        <v>506</v>
      </c>
      <c r="P31" s="23"/>
      <c r="Q31" s="34" t="s">
        <v>572</v>
      </c>
    </row>
    <row r="32" spans="1:17" s="3" customFormat="1" ht="24">
      <c r="A32" s="19"/>
      <c r="B32" s="23" t="s">
        <v>385</v>
      </c>
      <c r="C32" s="23" t="s">
        <v>469</v>
      </c>
      <c r="D32" s="23" t="s">
        <v>1168</v>
      </c>
      <c r="E32" s="23"/>
      <c r="F32" s="23" t="s">
        <v>1169</v>
      </c>
      <c r="G32" s="28" t="s">
        <v>1170</v>
      </c>
      <c r="H32" s="28"/>
      <c r="I32" s="23" t="s">
        <v>134</v>
      </c>
      <c r="J32" s="23">
        <v>2</v>
      </c>
      <c r="K32" s="23" t="s">
        <v>571</v>
      </c>
      <c r="L32" s="23" t="s">
        <v>573</v>
      </c>
      <c r="M32" s="23" t="s">
        <v>476</v>
      </c>
      <c r="N32" s="23" t="s">
        <v>14</v>
      </c>
      <c r="O32" s="23" t="s">
        <v>506</v>
      </c>
      <c r="P32" s="23"/>
      <c r="Q32" s="34"/>
    </row>
    <row r="33" spans="1:17" s="3" customFormat="1" ht="12" customHeight="1">
      <c r="A33" s="19"/>
      <c r="B33" s="23" t="s">
        <v>385</v>
      </c>
      <c r="C33" s="23" t="s">
        <v>469</v>
      </c>
      <c r="D33" s="23" t="s">
        <v>1168</v>
      </c>
      <c r="E33" s="23"/>
      <c r="F33" s="23" t="s">
        <v>1169</v>
      </c>
      <c r="G33" s="28" t="s">
        <v>1170</v>
      </c>
      <c r="H33" s="28" t="s">
        <v>1152</v>
      </c>
      <c r="I33" s="23" t="s">
        <v>231</v>
      </c>
      <c r="J33" s="23">
        <v>5</v>
      </c>
      <c r="K33" s="23" t="s">
        <v>574</v>
      </c>
      <c r="L33" s="23" t="s">
        <v>575</v>
      </c>
      <c r="M33" s="23" t="s">
        <v>476</v>
      </c>
      <c r="N33" s="23" t="s">
        <v>14</v>
      </c>
      <c r="O33" s="23" t="s">
        <v>506</v>
      </c>
      <c r="P33" s="23"/>
      <c r="Q33" s="34"/>
    </row>
    <row r="34" spans="1:17" s="3" customFormat="1" ht="12" customHeight="1">
      <c r="A34" s="19"/>
      <c r="B34" s="23" t="s">
        <v>385</v>
      </c>
      <c r="C34" s="23" t="s">
        <v>469</v>
      </c>
      <c r="D34" s="23" t="s">
        <v>1168</v>
      </c>
      <c r="E34" s="23"/>
      <c r="F34" s="23" t="s">
        <v>1169</v>
      </c>
      <c r="G34" s="28" t="s">
        <v>1170</v>
      </c>
      <c r="H34" s="28" t="s">
        <v>1171</v>
      </c>
      <c r="I34" s="23" t="s">
        <v>576</v>
      </c>
      <c r="J34" s="23">
        <v>8</v>
      </c>
      <c r="K34" s="23" t="s">
        <v>574</v>
      </c>
      <c r="L34" s="23" t="s">
        <v>536</v>
      </c>
      <c r="M34" s="23" t="s">
        <v>476</v>
      </c>
      <c r="N34" s="23" t="s">
        <v>14</v>
      </c>
      <c r="O34" s="23" t="s">
        <v>506</v>
      </c>
      <c r="P34" s="23"/>
      <c r="Q34" s="34"/>
    </row>
    <row r="35" spans="1:17" s="3" customFormat="1" ht="24" customHeight="1">
      <c r="A35" s="19"/>
      <c r="B35" s="23" t="s">
        <v>385</v>
      </c>
      <c r="C35" s="23" t="s">
        <v>469</v>
      </c>
      <c r="D35" s="23" t="s">
        <v>1168</v>
      </c>
      <c r="E35" s="23"/>
      <c r="F35" s="23" t="s">
        <v>1169</v>
      </c>
      <c r="G35" s="28" t="s">
        <v>1170</v>
      </c>
      <c r="H35" s="28" t="s">
        <v>1171</v>
      </c>
      <c r="I35" s="23" t="s">
        <v>255</v>
      </c>
      <c r="J35" s="23">
        <v>4</v>
      </c>
      <c r="K35" s="23" t="s">
        <v>574</v>
      </c>
      <c r="L35" s="23" t="s">
        <v>577</v>
      </c>
      <c r="M35" s="23" t="s">
        <v>476</v>
      </c>
      <c r="N35" s="23" t="s">
        <v>14</v>
      </c>
      <c r="O35" s="23" t="s">
        <v>506</v>
      </c>
      <c r="P35" s="23"/>
      <c r="Q35" s="34"/>
    </row>
    <row r="36" spans="1:17" s="3" customFormat="1" ht="12.95" customHeight="1">
      <c r="A36" s="19"/>
      <c r="B36" s="23" t="s">
        <v>385</v>
      </c>
      <c r="C36" s="23" t="s">
        <v>469</v>
      </c>
      <c r="D36" s="23" t="s">
        <v>1168</v>
      </c>
      <c r="E36" s="23"/>
      <c r="F36" s="23" t="s">
        <v>1169</v>
      </c>
      <c r="G36" s="28" t="s">
        <v>1170</v>
      </c>
      <c r="H36" s="28"/>
      <c r="I36" s="23" t="s">
        <v>111</v>
      </c>
      <c r="J36" s="23">
        <v>1</v>
      </c>
      <c r="K36" s="23" t="s">
        <v>479</v>
      </c>
      <c r="L36" s="23" t="s">
        <v>526</v>
      </c>
      <c r="M36" s="23" t="s">
        <v>476</v>
      </c>
      <c r="N36" s="23" t="s">
        <v>14</v>
      </c>
      <c r="O36" s="23" t="s">
        <v>506</v>
      </c>
      <c r="P36" s="23"/>
      <c r="Q36" s="34" t="s">
        <v>578</v>
      </c>
    </row>
    <row r="37" spans="1:17" s="3" customFormat="1" ht="12.95" customHeight="1">
      <c r="A37" s="19"/>
      <c r="B37" s="23" t="s">
        <v>385</v>
      </c>
      <c r="C37" s="23" t="s">
        <v>469</v>
      </c>
      <c r="D37" s="23" t="s">
        <v>1168</v>
      </c>
      <c r="E37" s="23"/>
      <c r="F37" s="23" t="s">
        <v>1169</v>
      </c>
      <c r="G37" s="28" t="s">
        <v>1170</v>
      </c>
      <c r="H37" s="28"/>
      <c r="I37" s="23" t="s">
        <v>20</v>
      </c>
      <c r="J37" s="23">
        <v>2</v>
      </c>
      <c r="K37" s="23" t="s">
        <v>479</v>
      </c>
      <c r="L37" s="23" t="s">
        <v>492</v>
      </c>
      <c r="M37" s="23" t="s">
        <v>476</v>
      </c>
      <c r="N37" s="23" t="s">
        <v>14</v>
      </c>
      <c r="O37" s="23" t="s">
        <v>506</v>
      </c>
      <c r="P37" s="23"/>
      <c r="Q37" s="34" t="s">
        <v>578</v>
      </c>
    </row>
    <row r="38" spans="1:17" s="3" customFormat="1" ht="12.95" customHeight="1">
      <c r="A38" s="19"/>
      <c r="B38" s="23" t="s">
        <v>385</v>
      </c>
      <c r="C38" s="23" t="s">
        <v>469</v>
      </c>
      <c r="D38" s="23" t="s">
        <v>1168</v>
      </c>
      <c r="E38" s="23"/>
      <c r="F38" s="23" t="s">
        <v>1169</v>
      </c>
      <c r="G38" s="28" t="s">
        <v>1170</v>
      </c>
      <c r="H38" s="28"/>
      <c r="I38" s="23" t="s">
        <v>12</v>
      </c>
      <c r="J38" s="23">
        <v>1</v>
      </c>
      <c r="K38" s="23" t="s">
        <v>479</v>
      </c>
      <c r="L38" s="23" t="s">
        <v>536</v>
      </c>
      <c r="M38" s="23" t="s">
        <v>476</v>
      </c>
      <c r="N38" s="23" t="s">
        <v>14</v>
      </c>
      <c r="O38" s="23" t="s">
        <v>506</v>
      </c>
      <c r="P38" s="23"/>
      <c r="Q38" s="34" t="s">
        <v>578</v>
      </c>
    </row>
    <row r="39" spans="1:17" s="3" customFormat="1" ht="12.95" customHeight="1">
      <c r="A39" s="19"/>
      <c r="B39" s="23" t="s">
        <v>385</v>
      </c>
      <c r="C39" s="23" t="s">
        <v>469</v>
      </c>
      <c r="D39" s="23" t="s">
        <v>1168</v>
      </c>
      <c r="E39" s="23"/>
      <c r="F39" s="23" t="s">
        <v>1169</v>
      </c>
      <c r="G39" s="28" t="s">
        <v>1170</v>
      </c>
      <c r="H39" s="28"/>
      <c r="I39" s="23" t="s">
        <v>25</v>
      </c>
      <c r="J39" s="23">
        <v>2</v>
      </c>
      <c r="K39" s="23" t="s">
        <v>479</v>
      </c>
      <c r="L39" s="23" t="s">
        <v>536</v>
      </c>
      <c r="M39" s="23" t="s">
        <v>476</v>
      </c>
      <c r="N39" s="23" t="s">
        <v>14</v>
      </c>
      <c r="O39" s="23" t="s">
        <v>506</v>
      </c>
      <c r="P39" s="23"/>
      <c r="Q39" s="34" t="s">
        <v>579</v>
      </c>
    </row>
    <row r="40" spans="1:17" s="3" customFormat="1" ht="24" customHeight="1">
      <c r="A40" s="19">
        <v>16</v>
      </c>
      <c r="B40" s="27" t="s">
        <v>387</v>
      </c>
      <c r="C40" s="27" t="s">
        <v>469</v>
      </c>
      <c r="D40" s="27" t="s">
        <v>1172</v>
      </c>
      <c r="E40" s="27" t="s">
        <v>583</v>
      </c>
      <c r="F40" s="27"/>
      <c r="G40" s="20" t="s">
        <v>1173</v>
      </c>
      <c r="H40" s="20"/>
      <c r="I40" s="21" t="s">
        <v>559</v>
      </c>
      <c r="J40" s="21">
        <v>1</v>
      </c>
      <c r="K40" s="21" t="s">
        <v>585</v>
      </c>
      <c r="L40" s="21" t="s">
        <v>522</v>
      </c>
      <c r="M40" s="21" t="s">
        <v>553</v>
      </c>
      <c r="N40" s="21" t="s">
        <v>14</v>
      </c>
      <c r="O40" s="21" t="s">
        <v>506</v>
      </c>
      <c r="P40" s="21"/>
      <c r="Q40" s="35" t="s">
        <v>586</v>
      </c>
    </row>
    <row r="41" spans="1:17" s="3" customFormat="1" ht="12.95" customHeight="1">
      <c r="A41" s="19"/>
      <c r="B41" s="27" t="s">
        <v>387</v>
      </c>
      <c r="C41" s="27" t="s">
        <v>469</v>
      </c>
      <c r="D41" s="27" t="s">
        <v>1172</v>
      </c>
      <c r="E41" s="27" t="s">
        <v>583</v>
      </c>
      <c r="F41" s="27"/>
      <c r="G41" s="20" t="s">
        <v>1173</v>
      </c>
      <c r="H41" s="20" t="s">
        <v>1152</v>
      </c>
      <c r="I41" s="21" t="s">
        <v>587</v>
      </c>
      <c r="J41" s="21">
        <v>1</v>
      </c>
      <c r="K41" s="21" t="s">
        <v>585</v>
      </c>
      <c r="L41" s="21" t="s">
        <v>522</v>
      </c>
      <c r="M41" s="21" t="s">
        <v>553</v>
      </c>
      <c r="N41" s="21" t="s">
        <v>14</v>
      </c>
      <c r="O41" s="21" t="s">
        <v>506</v>
      </c>
      <c r="P41" s="21"/>
      <c r="Q41" s="35"/>
    </row>
    <row r="42" spans="1:17" s="3" customFormat="1" ht="12.95" customHeight="1">
      <c r="A42" s="19"/>
      <c r="B42" s="27" t="s">
        <v>387</v>
      </c>
      <c r="C42" s="27" t="s">
        <v>469</v>
      </c>
      <c r="D42" s="27" t="s">
        <v>1172</v>
      </c>
      <c r="E42" s="27" t="s">
        <v>583</v>
      </c>
      <c r="F42" s="27"/>
      <c r="G42" s="20" t="s">
        <v>1173</v>
      </c>
      <c r="H42" s="20"/>
      <c r="I42" s="21" t="s">
        <v>588</v>
      </c>
      <c r="J42" s="21">
        <v>1</v>
      </c>
      <c r="K42" s="21" t="s">
        <v>585</v>
      </c>
      <c r="L42" s="21" t="s">
        <v>522</v>
      </c>
      <c r="M42" s="21" t="s">
        <v>553</v>
      </c>
      <c r="N42" s="21" t="s">
        <v>14</v>
      </c>
      <c r="O42" s="21" t="s">
        <v>506</v>
      </c>
      <c r="P42" s="21"/>
      <c r="Q42" s="35"/>
    </row>
    <row r="43" spans="1:17" ht="22.5" customHeight="1">
      <c r="A43" s="19">
        <v>17</v>
      </c>
      <c r="B43" s="24" t="s">
        <v>389</v>
      </c>
      <c r="C43" s="24" t="s">
        <v>469</v>
      </c>
      <c r="D43" s="24" t="s">
        <v>589</v>
      </c>
      <c r="E43" s="23" t="s">
        <v>590</v>
      </c>
      <c r="F43" s="23" t="s">
        <v>591</v>
      </c>
      <c r="G43" s="28" t="s">
        <v>592</v>
      </c>
      <c r="H43" s="28"/>
      <c r="I43" s="23" t="s">
        <v>25</v>
      </c>
      <c r="J43" s="23">
        <v>1</v>
      </c>
      <c r="K43" s="23" t="s">
        <v>500</v>
      </c>
      <c r="L43" s="23" t="s">
        <v>546</v>
      </c>
      <c r="M43" s="23" t="s">
        <v>476</v>
      </c>
      <c r="N43" s="23" t="s">
        <v>14</v>
      </c>
      <c r="O43" s="23" t="s">
        <v>506</v>
      </c>
      <c r="P43" s="23"/>
      <c r="Q43" s="26"/>
    </row>
    <row r="44" spans="1:17" ht="12.95" customHeight="1">
      <c r="A44" s="19">
        <v>18</v>
      </c>
      <c r="B44" s="27" t="s">
        <v>390</v>
      </c>
      <c r="C44" s="27" t="s">
        <v>469</v>
      </c>
      <c r="D44" s="27" t="s">
        <v>1174</v>
      </c>
      <c r="E44" s="21" t="s">
        <v>593</v>
      </c>
      <c r="F44" s="21" t="s">
        <v>1175</v>
      </c>
      <c r="G44" s="30" t="s">
        <v>1176</v>
      </c>
      <c r="H44" s="30" t="s">
        <v>1171</v>
      </c>
      <c r="I44" s="21" t="s">
        <v>255</v>
      </c>
      <c r="J44" s="21">
        <v>2</v>
      </c>
      <c r="K44" s="21" t="s">
        <v>596</v>
      </c>
      <c r="L44" s="21" t="s">
        <v>597</v>
      </c>
      <c r="M44" s="21" t="s">
        <v>476</v>
      </c>
      <c r="N44" s="21" t="s">
        <v>14</v>
      </c>
      <c r="O44" s="21" t="s">
        <v>506</v>
      </c>
      <c r="P44" s="21"/>
      <c r="Q44" s="35"/>
    </row>
    <row r="45" spans="1:17" ht="12.95" customHeight="1">
      <c r="A45" s="19"/>
      <c r="B45" s="27" t="s">
        <v>390</v>
      </c>
      <c r="C45" s="27" t="s">
        <v>469</v>
      </c>
      <c r="D45" s="27" t="s">
        <v>1174</v>
      </c>
      <c r="E45" s="21" t="s">
        <v>593</v>
      </c>
      <c r="F45" s="21" t="s">
        <v>1175</v>
      </c>
      <c r="G45" s="30" t="s">
        <v>1176</v>
      </c>
      <c r="H45" s="30"/>
      <c r="I45" s="21" t="s">
        <v>178</v>
      </c>
      <c r="J45" s="21">
        <v>1</v>
      </c>
      <c r="K45" s="21" t="s">
        <v>596</v>
      </c>
      <c r="L45" s="21" t="s">
        <v>522</v>
      </c>
      <c r="M45" s="21" t="s">
        <v>476</v>
      </c>
      <c r="N45" s="21" t="s">
        <v>14</v>
      </c>
      <c r="O45" s="21" t="s">
        <v>506</v>
      </c>
      <c r="P45" s="21"/>
      <c r="Q45" s="35"/>
    </row>
    <row r="46" spans="1:17" ht="12.95" customHeight="1">
      <c r="A46" s="19"/>
      <c r="B46" s="27" t="s">
        <v>390</v>
      </c>
      <c r="C46" s="27" t="s">
        <v>469</v>
      </c>
      <c r="D46" s="27" t="s">
        <v>1174</v>
      </c>
      <c r="E46" s="21" t="s">
        <v>593</v>
      </c>
      <c r="F46" s="21" t="s">
        <v>1175</v>
      </c>
      <c r="G46" s="30" t="s">
        <v>1176</v>
      </c>
      <c r="H46" s="30" t="s">
        <v>1152</v>
      </c>
      <c r="I46" s="21" t="s">
        <v>598</v>
      </c>
      <c r="J46" s="21">
        <v>1</v>
      </c>
      <c r="K46" s="21" t="s">
        <v>596</v>
      </c>
      <c r="L46" s="21" t="s">
        <v>522</v>
      </c>
      <c r="M46" s="21" t="s">
        <v>476</v>
      </c>
      <c r="N46" s="21" t="s">
        <v>14</v>
      </c>
      <c r="O46" s="21" t="s">
        <v>506</v>
      </c>
      <c r="P46" s="21"/>
      <c r="Q46" s="35"/>
    </row>
    <row r="47" spans="1:17" ht="22.5" customHeight="1">
      <c r="A47" s="19">
        <v>19</v>
      </c>
      <c r="B47" s="24" t="s">
        <v>391</v>
      </c>
      <c r="C47" s="24" t="s">
        <v>469</v>
      </c>
      <c r="D47" s="24" t="s">
        <v>599</v>
      </c>
      <c r="E47" s="23" t="s">
        <v>600</v>
      </c>
      <c r="F47" s="23" t="s">
        <v>601</v>
      </c>
      <c r="G47" s="28" t="s">
        <v>602</v>
      </c>
      <c r="H47" s="28" t="s">
        <v>1171</v>
      </c>
      <c r="I47" s="23" t="s">
        <v>255</v>
      </c>
      <c r="J47" s="23">
        <v>2</v>
      </c>
      <c r="K47" s="23" t="s">
        <v>596</v>
      </c>
      <c r="L47" s="23" t="s">
        <v>522</v>
      </c>
      <c r="M47" s="23" t="s">
        <v>476</v>
      </c>
      <c r="N47" s="23" t="s">
        <v>14</v>
      </c>
      <c r="O47" s="23" t="s">
        <v>506</v>
      </c>
      <c r="P47" s="23"/>
      <c r="Q47" s="34"/>
    </row>
    <row r="48" spans="1:17" ht="22.5" customHeight="1">
      <c r="A48" s="19"/>
      <c r="B48" s="24"/>
      <c r="C48" s="24" t="s">
        <v>469</v>
      </c>
      <c r="D48" s="24"/>
      <c r="E48" s="23"/>
      <c r="F48" s="23"/>
      <c r="G48" s="28"/>
      <c r="H48" s="28"/>
      <c r="I48" s="23" t="s">
        <v>178</v>
      </c>
      <c r="J48" s="23">
        <v>1</v>
      </c>
      <c r="K48" s="23" t="s">
        <v>596</v>
      </c>
      <c r="L48" s="23" t="s">
        <v>522</v>
      </c>
      <c r="M48" s="23" t="s">
        <v>476</v>
      </c>
      <c r="N48" s="23" t="s">
        <v>14</v>
      </c>
      <c r="O48" s="23" t="s">
        <v>506</v>
      </c>
      <c r="P48" s="23"/>
      <c r="Q48" s="34"/>
    </row>
    <row r="49" spans="1:17" ht="12" customHeight="1">
      <c r="A49" s="19">
        <v>20</v>
      </c>
      <c r="B49" s="27" t="s">
        <v>392</v>
      </c>
      <c r="C49" s="27" t="s">
        <v>469</v>
      </c>
      <c r="D49" s="27" t="s">
        <v>899</v>
      </c>
      <c r="E49" s="21" t="s">
        <v>603</v>
      </c>
      <c r="F49" s="21" t="s">
        <v>604</v>
      </c>
      <c r="G49" s="20" t="s">
        <v>1177</v>
      </c>
      <c r="H49" s="20" t="s">
        <v>1171</v>
      </c>
      <c r="I49" s="21" t="s">
        <v>255</v>
      </c>
      <c r="J49" s="21">
        <v>3</v>
      </c>
      <c r="K49" s="21" t="s">
        <v>596</v>
      </c>
      <c r="L49" s="21" t="s">
        <v>511</v>
      </c>
      <c r="M49" s="21" t="s">
        <v>476</v>
      </c>
      <c r="N49" s="21" t="s">
        <v>14</v>
      </c>
      <c r="O49" s="21" t="s">
        <v>506</v>
      </c>
      <c r="P49" s="21"/>
      <c r="Q49" s="35"/>
    </row>
    <row r="50" spans="1:17" ht="12.95" customHeight="1">
      <c r="A50" s="19"/>
      <c r="B50" s="27" t="s">
        <v>392</v>
      </c>
      <c r="C50" s="27" t="s">
        <v>469</v>
      </c>
      <c r="D50" s="27" t="s">
        <v>899</v>
      </c>
      <c r="E50" s="21" t="s">
        <v>603</v>
      </c>
      <c r="F50" s="21" t="s">
        <v>604</v>
      </c>
      <c r="G50" s="20" t="s">
        <v>1177</v>
      </c>
      <c r="H50" s="20"/>
      <c r="I50" s="21" t="s">
        <v>178</v>
      </c>
      <c r="J50" s="21">
        <v>2</v>
      </c>
      <c r="K50" s="21" t="s">
        <v>596</v>
      </c>
      <c r="L50" s="21" t="s">
        <v>511</v>
      </c>
      <c r="M50" s="21" t="s">
        <v>476</v>
      </c>
      <c r="N50" s="21" t="s">
        <v>14</v>
      </c>
      <c r="O50" s="21" t="s">
        <v>506</v>
      </c>
      <c r="P50" s="21"/>
      <c r="Q50" s="35"/>
    </row>
    <row r="51" spans="1:17" ht="12.95" customHeight="1">
      <c r="A51" s="19"/>
      <c r="B51" s="27" t="s">
        <v>392</v>
      </c>
      <c r="C51" s="27" t="s">
        <v>469</v>
      </c>
      <c r="D51" s="27" t="s">
        <v>899</v>
      </c>
      <c r="E51" s="21" t="s">
        <v>603</v>
      </c>
      <c r="F51" s="21" t="s">
        <v>604</v>
      </c>
      <c r="G51" s="20" t="s">
        <v>1177</v>
      </c>
      <c r="H51" s="20" t="s">
        <v>1152</v>
      </c>
      <c r="I51" s="21" t="s">
        <v>598</v>
      </c>
      <c r="J51" s="21">
        <v>1</v>
      </c>
      <c r="K51" s="21" t="s">
        <v>596</v>
      </c>
      <c r="L51" s="21" t="s">
        <v>511</v>
      </c>
      <c r="M51" s="21" t="s">
        <v>476</v>
      </c>
      <c r="N51" s="21" t="s">
        <v>14</v>
      </c>
      <c r="O51" s="21" t="s">
        <v>506</v>
      </c>
      <c r="P51" s="21"/>
      <c r="Q51" s="35"/>
    </row>
    <row r="52" spans="1:17" ht="12">
      <c r="A52" s="19"/>
      <c r="B52" s="27" t="s">
        <v>392</v>
      </c>
      <c r="C52" s="27" t="s">
        <v>469</v>
      </c>
      <c r="D52" s="27" t="s">
        <v>899</v>
      </c>
      <c r="E52" s="21" t="s">
        <v>603</v>
      </c>
      <c r="F52" s="21" t="s">
        <v>604</v>
      </c>
      <c r="G52" s="20" t="s">
        <v>1177</v>
      </c>
      <c r="H52" s="20" t="s">
        <v>1152</v>
      </c>
      <c r="I52" s="21" t="s">
        <v>58</v>
      </c>
      <c r="J52" s="21">
        <v>1</v>
      </c>
      <c r="K52" s="21" t="s">
        <v>596</v>
      </c>
      <c r="L52" s="21" t="s">
        <v>511</v>
      </c>
      <c r="M52" s="21" t="s">
        <v>476</v>
      </c>
      <c r="N52" s="21" t="s">
        <v>14</v>
      </c>
      <c r="O52" s="21" t="s">
        <v>506</v>
      </c>
      <c r="P52" s="21"/>
      <c r="Q52" s="35"/>
    </row>
    <row r="53" spans="1:17" ht="12.95" customHeight="1">
      <c r="A53" s="19"/>
      <c r="B53" s="27" t="s">
        <v>392</v>
      </c>
      <c r="C53" s="27" t="s">
        <v>469</v>
      </c>
      <c r="D53" s="27" t="s">
        <v>899</v>
      </c>
      <c r="E53" s="21" t="s">
        <v>603</v>
      </c>
      <c r="F53" s="21" t="s">
        <v>604</v>
      </c>
      <c r="G53" s="20" t="s">
        <v>1177</v>
      </c>
      <c r="H53" s="20"/>
      <c r="I53" s="21" t="s">
        <v>134</v>
      </c>
      <c r="J53" s="21">
        <v>1</v>
      </c>
      <c r="K53" s="21" t="s">
        <v>596</v>
      </c>
      <c r="L53" s="21" t="s">
        <v>511</v>
      </c>
      <c r="M53" s="21" t="s">
        <v>476</v>
      </c>
      <c r="N53" s="21" t="s">
        <v>14</v>
      </c>
      <c r="O53" s="21" t="s">
        <v>506</v>
      </c>
      <c r="P53" s="21"/>
      <c r="Q53" s="35"/>
    </row>
    <row r="54" spans="1:17" ht="12.95" customHeight="1">
      <c r="A54" s="19"/>
      <c r="B54" s="27" t="s">
        <v>392</v>
      </c>
      <c r="C54" s="27" t="s">
        <v>469</v>
      </c>
      <c r="D54" s="27" t="s">
        <v>899</v>
      </c>
      <c r="E54" s="21" t="s">
        <v>603</v>
      </c>
      <c r="F54" s="21" t="s">
        <v>604</v>
      </c>
      <c r="G54" s="20" t="s">
        <v>1177</v>
      </c>
      <c r="H54" s="20"/>
      <c r="I54" s="21" t="s">
        <v>111</v>
      </c>
      <c r="J54" s="21">
        <v>1</v>
      </c>
      <c r="K54" s="21" t="s">
        <v>479</v>
      </c>
      <c r="L54" s="21" t="s">
        <v>511</v>
      </c>
      <c r="M54" s="21" t="s">
        <v>476</v>
      </c>
      <c r="N54" s="21" t="s">
        <v>14</v>
      </c>
      <c r="O54" s="21" t="s">
        <v>506</v>
      </c>
      <c r="P54" s="21"/>
      <c r="Q54" s="35" t="s">
        <v>578</v>
      </c>
    </row>
    <row r="55" spans="1:17" ht="12.95" customHeight="1">
      <c r="A55" s="19">
        <v>21</v>
      </c>
      <c r="B55" s="23" t="s">
        <v>393</v>
      </c>
      <c r="C55" s="23" t="s">
        <v>469</v>
      </c>
      <c r="D55" s="23" t="s">
        <v>605</v>
      </c>
      <c r="E55" s="23"/>
      <c r="F55" s="23" t="s">
        <v>606</v>
      </c>
      <c r="G55" s="28" t="s">
        <v>607</v>
      </c>
      <c r="H55" s="28"/>
      <c r="I55" s="24" t="s">
        <v>134</v>
      </c>
      <c r="J55" s="24">
        <v>2</v>
      </c>
      <c r="K55" s="24" t="s">
        <v>490</v>
      </c>
      <c r="L55" s="23" t="s">
        <v>505</v>
      </c>
      <c r="M55" s="24" t="s">
        <v>476</v>
      </c>
      <c r="N55" s="24" t="s">
        <v>14</v>
      </c>
      <c r="O55" s="24" t="s">
        <v>506</v>
      </c>
      <c r="P55" s="24"/>
      <c r="Q55" s="34" t="s">
        <v>608</v>
      </c>
    </row>
    <row r="56" spans="1:17" ht="12.95" customHeight="1">
      <c r="A56" s="19"/>
      <c r="B56" s="23" t="s">
        <v>393</v>
      </c>
      <c r="C56" s="23" t="s">
        <v>469</v>
      </c>
      <c r="D56" s="23" t="s">
        <v>605</v>
      </c>
      <c r="E56" s="23"/>
      <c r="F56" s="23" t="s">
        <v>606</v>
      </c>
      <c r="G56" s="28" t="s">
        <v>607</v>
      </c>
      <c r="H56" s="28"/>
      <c r="I56" s="24" t="s">
        <v>71</v>
      </c>
      <c r="J56" s="24">
        <v>1</v>
      </c>
      <c r="K56" s="24" t="s">
        <v>479</v>
      </c>
      <c r="L56" s="23" t="s">
        <v>505</v>
      </c>
      <c r="M56" s="24" t="s">
        <v>476</v>
      </c>
      <c r="N56" s="24" t="s">
        <v>14</v>
      </c>
      <c r="O56" s="24" t="s">
        <v>506</v>
      </c>
      <c r="P56" s="24"/>
      <c r="Q56" s="34"/>
    </row>
    <row r="57" spans="1:17" ht="12.95" customHeight="1">
      <c r="A57" s="19"/>
      <c r="B57" s="23" t="s">
        <v>393</v>
      </c>
      <c r="C57" s="23" t="s">
        <v>469</v>
      </c>
      <c r="D57" s="23" t="s">
        <v>605</v>
      </c>
      <c r="E57" s="23"/>
      <c r="F57" s="23" t="s">
        <v>606</v>
      </c>
      <c r="G57" s="28" t="s">
        <v>607</v>
      </c>
      <c r="H57" s="28"/>
      <c r="I57" s="24" t="s">
        <v>12</v>
      </c>
      <c r="J57" s="24">
        <v>2</v>
      </c>
      <c r="K57" s="24" t="s">
        <v>571</v>
      </c>
      <c r="L57" s="23" t="s">
        <v>505</v>
      </c>
      <c r="M57" s="24" t="s">
        <v>476</v>
      </c>
      <c r="N57" s="24" t="s">
        <v>14</v>
      </c>
      <c r="O57" s="24" t="s">
        <v>506</v>
      </c>
      <c r="P57" s="24"/>
      <c r="Q57" s="34" t="s">
        <v>578</v>
      </c>
    </row>
    <row r="58" spans="1:17" ht="12">
      <c r="A58" s="19"/>
      <c r="B58" s="23" t="s">
        <v>393</v>
      </c>
      <c r="C58" s="23" t="s">
        <v>469</v>
      </c>
      <c r="D58" s="23" t="s">
        <v>605</v>
      </c>
      <c r="E58" s="23"/>
      <c r="F58" s="23" t="s">
        <v>606</v>
      </c>
      <c r="G58" s="28" t="s">
        <v>607</v>
      </c>
      <c r="H58" s="28"/>
      <c r="I58" s="24" t="s">
        <v>189</v>
      </c>
      <c r="J58" s="24">
        <v>1</v>
      </c>
      <c r="K58" s="24" t="s">
        <v>510</v>
      </c>
      <c r="L58" s="23" t="s">
        <v>505</v>
      </c>
      <c r="M58" s="24" t="s">
        <v>476</v>
      </c>
      <c r="N58" s="24" t="s">
        <v>14</v>
      </c>
      <c r="O58" s="24" t="s">
        <v>506</v>
      </c>
      <c r="P58" s="24"/>
      <c r="Q58" s="34" t="s">
        <v>609</v>
      </c>
    </row>
    <row r="59" spans="1:17" ht="25.5" hidden="1" customHeight="1">
      <c r="A59" s="19">
        <v>22</v>
      </c>
      <c r="B59" s="27" t="s">
        <v>394</v>
      </c>
      <c r="C59" s="27" t="s">
        <v>469</v>
      </c>
      <c r="D59" s="27" t="s">
        <v>906</v>
      </c>
      <c r="E59" s="27" t="s">
        <v>610</v>
      </c>
      <c r="F59" s="27"/>
      <c r="G59" s="20"/>
      <c r="H59" s="20"/>
      <c r="I59" s="27" t="s">
        <v>12</v>
      </c>
      <c r="J59" s="27">
        <v>1</v>
      </c>
      <c r="K59" s="27" t="s">
        <v>479</v>
      </c>
      <c r="L59" s="27" t="s">
        <v>505</v>
      </c>
      <c r="M59" s="21" t="s">
        <v>72</v>
      </c>
      <c r="N59" s="27" t="s">
        <v>523</v>
      </c>
      <c r="O59" s="27" t="s">
        <v>1161</v>
      </c>
      <c r="P59" s="27"/>
      <c r="Q59" s="22" t="s">
        <v>1178</v>
      </c>
    </row>
    <row r="60" spans="1:17" ht="12.95" hidden="1" customHeight="1">
      <c r="A60" s="19">
        <v>23</v>
      </c>
      <c r="B60" s="24" t="s">
        <v>395</v>
      </c>
      <c r="C60" s="24" t="s">
        <v>469</v>
      </c>
      <c r="D60" s="24"/>
      <c r="E60" s="24" t="s">
        <v>613</v>
      </c>
      <c r="F60" s="24"/>
      <c r="G60" s="25"/>
      <c r="H60" s="25"/>
      <c r="I60" s="24" t="s">
        <v>134</v>
      </c>
      <c r="J60" s="24">
        <v>1</v>
      </c>
      <c r="K60" s="24" t="s">
        <v>500</v>
      </c>
      <c r="L60" s="23" t="s">
        <v>492</v>
      </c>
      <c r="M60" s="24" t="s">
        <v>72</v>
      </c>
      <c r="N60" s="24" t="s">
        <v>53</v>
      </c>
      <c r="O60" s="24" t="s">
        <v>506</v>
      </c>
      <c r="P60" s="24"/>
      <c r="Q60" s="34" t="s">
        <v>1179</v>
      </c>
    </row>
    <row r="61" spans="1:17" ht="12.95" hidden="1" customHeight="1">
      <c r="A61" s="19"/>
      <c r="B61" s="24" t="s">
        <v>395</v>
      </c>
      <c r="C61" s="24" t="s">
        <v>469</v>
      </c>
      <c r="D61" s="24"/>
      <c r="E61" s="24" t="s">
        <v>613</v>
      </c>
      <c r="F61" s="24"/>
      <c r="G61" s="25"/>
      <c r="H61" s="25" t="s">
        <v>1171</v>
      </c>
      <c r="I61" s="24" t="s">
        <v>255</v>
      </c>
      <c r="J61" s="24">
        <v>2</v>
      </c>
      <c r="K61" s="24" t="s">
        <v>617</v>
      </c>
      <c r="L61" s="23" t="s">
        <v>492</v>
      </c>
      <c r="M61" s="24" t="s">
        <v>72</v>
      </c>
      <c r="N61" s="24" t="s">
        <v>53</v>
      </c>
      <c r="O61" s="24" t="s">
        <v>506</v>
      </c>
      <c r="P61" s="24"/>
      <c r="Q61" s="34" t="s">
        <v>1179</v>
      </c>
    </row>
    <row r="62" spans="1:17" ht="12.95" hidden="1" customHeight="1">
      <c r="A62" s="19"/>
      <c r="B62" s="24" t="s">
        <v>395</v>
      </c>
      <c r="C62" s="24" t="s">
        <v>469</v>
      </c>
      <c r="D62" s="24"/>
      <c r="E62" s="24" t="s">
        <v>613</v>
      </c>
      <c r="F62" s="24"/>
      <c r="G62" s="25"/>
      <c r="H62" s="25" t="s">
        <v>1152</v>
      </c>
      <c r="I62" s="24" t="s">
        <v>51</v>
      </c>
      <c r="J62" s="24">
        <v>2</v>
      </c>
      <c r="K62" s="24" t="s">
        <v>617</v>
      </c>
      <c r="L62" s="23" t="s">
        <v>492</v>
      </c>
      <c r="M62" s="24" t="s">
        <v>72</v>
      </c>
      <c r="N62" s="24" t="s">
        <v>53</v>
      </c>
      <c r="O62" s="24" t="s">
        <v>506</v>
      </c>
      <c r="P62" s="24"/>
      <c r="Q62" s="34" t="s">
        <v>1179</v>
      </c>
    </row>
    <row r="63" spans="1:17" ht="12.95" hidden="1" customHeight="1">
      <c r="A63" s="19"/>
      <c r="B63" s="24" t="s">
        <v>395</v>
      </c>
      <c r="C63" s="24" t="s">
        <v>469</v>
      </c>
      <c r="D63" s="24"/>
      <c r="E63" s="24" t="s">
        <v>613</v>
      </c>
      <c r="F63" s="24"/>
      <c r="G63" s="25"/>
      <c r="H63" s="25"/>
      <c r="I63" s="24" t="s">
        <v>330</v>
      </c>
      <c r="J63" s="24">
        <v>2</v>
      </c>
      <c r="K63" s="24" t="s">
        <v>617</v>
      </c>
      <c r="L63" s="23" t="s">
        <v>492</v>
      </c>
      <c r="M63" s="24" t="s">
        <v>72</v>
      </c>
      <c r="N63" s="24" t="s">
        <v>53</v>
      </c>
      <c r="O63" s="24" t="s">
        <v>506</v>
      </c>
      <c r="P63" s="24"/>
      <c r="Q63" s="34" t="s">
        <v>1179</v>
      </c>
    </row>
    <row r="64" spans="1:17" ht="12.95" hidden="1" customHeight="1">
      <c r="A64" s="19">
        <v>24</v>
      </c>
      <c r="B64" s="27" t="s">
        <v>396</v>
      </c>
      <c r="C64" s="27" t="s">
        <v>469</v>
      </c>
      <c r="D64" s="27"/>
      <c r="E64" s="27" t="s">
        <v>618</v>
      </c>
      <c r="F64" s="27"/>
      <c r="G64" s="20"/>
      <c r="H64" s="20" t="s">
        <v>1171</v>
      </c>
      <c r="I64" s="27" t="s">
        <v>255</v>
      </c>
      <c r="J64" s="27">
        <v>2</v>
      </c>
      <c r="K64" s="27" t="s">
        <v>474</v>
      </c>
      <c r="L64" s="21" t="s">
        <v>492</v>
      </c>
      <c r="M64" s="27" t="s">
        <v>1180</v>
      </c>
      <c r="N64" s="27" t="s">
        <v>523</v>
      </c>
      <c r="O64" s="27" t="s">
        <v>626</v>
      </c>
      <c r="P64" s="27"/>
      <c r="Q64" s="35" t="s">
        <v>1181</v>
      </c>
    </row>
    <row r="65" spans="1:17" ht="12.95" hidden="1" customHeight="1">
      <c r="A65" s="19"/>
      <c r="B65" s="27" t="s">
        <v>396</v>
      </c>
      <c r="C65" s="27" t="s">
        <v>469</v>
      </c>
      <c r="D65" s="27"/>
      <c r="E65" s="27" t="s">
        <v>618</v>
      </c>
      <c r="F65" s="27"/>
      <c r="G65" s="20"/>
      <c r="H65" s="20" t="s">
        <v>1152</v>
      </c>
      <c r="I65" s="27" t="s">
        <v>58</v>
      </c>
      <c r="J65" s="27">
        <v>1</v>
      </c>
      <c r="K65" s="27" t="s">
        <v>474</v>
      </c>
      <c r="L65" s="21" t="s">
        <v>492</v>
      </c>
      <c r="M65" s="27" t="s">
        <v>1180</v>
      </c>
      <c r="N65" s="27" t="s">
        <v>523</v>
      </c>
      <c r="O65" s="27" t="s">
        <v>626</v>
      </c>
      <c r="P65" s="27"/>
      <c r="Q65" s="35"/>
    </row>
    <row r="66" spans="1:17" ht="12.95" hidden="1" customHeight="1">
      <c r="A66" s="19"/>
      <c r="B66" s="27" t="s">
        <v>396</v>
      </c>
      <c r="C66" s="27" t="s">
        <v>469</v>
      </c>
      <c r="D66" s="27"/>
      <c r="E66" s="27" t="s">
        <v>618</v>
      </c>
      <c r="F66" s="27"/>
      <c r="G66" s="20"/>
      <c r="H66" s="20"/>
      <c r="I66" s="27" t="s">
        <v>330</v>
      </c>
      <c r="J66" s="27">
        <v>1</v>
      </c>
      <c r="K66" s="27" t="s">
        <v>474</v>
      </c>
      <c r="L66" s="21" t="s">
        <v>492</v>
      </c>
      <c r="M66" s="27" t="s">
        <v>1180</v>
      </c>
      <c r="N66" s="27" t="s">
        <v>523</v>
      </c>
      <c r="O66" s="27" t="s">
        <v>626</v>
      </c>
      <c r="P66" s="27"/>
      <c r="Q66" s="35"/>
    </row>
    <row r="67" spans="1:17" ht="21.75" hidden="1" customHeight="1">
      <c r="A67" s="19">
        <v>25</v>
      </c>
      <c r="B67" s="24" t="s">
        <v>397</v>
      </c>
      <c r="C67" s="24" t="s">
        <v>469</v>
      </c>
      <c r="D67" s="24" t="s">
        <v>1182</v>
      </c>
      <c r="E67" s="24" t="s">
        <v>623</v>
      </c>
      <c r="F67" s="24"/>
      <c r="G67" s="115" t="s">
        <v>1183</v>
      </c>
      <c r="H67" s="25"/>
      <c r="I67" s="24" t="s">
        <v>153</v>
      </c>
      <c r="J67" s="24">
        <v>1</v>
      </c>
      <c r="K67" s="24" t="s">
        <v>500</v>
      </c>
      <c r="L67" s="23" t="s">
        <v>492</v>
      </c>
      <c r="M67" s="24" t="s">
        <v>72</v>
      </c>
      <c r="N67" s="24" t="s">
        <v>53</v>
      </c>
      <c r="O67" s="24" t="s">
        <v>477</v>
      </c>
      <c r="P67" s="24"/>
      <c r="Q67" s="26" t="s">
        <v>1184</v>
      </c>
    </row>
    <row r="68" spans="1:17" ht="21.75" hidden="1" customHeight="1">
      <c r="A68" s="19">
        <v>26</v>
      </c>
      <c r="B68" s="27" t="s">
        <v>401</v>
      </c>
      <c r="C68" s="27" t="s">
        <v>469</v>
      </c>
      <c r="D68" s="27"/>
      <c r="E68" s="27"/>
      <c r="F68" s="27"/>
      <c r="G68" s="20"/>
      <c r="H68" s="20" t="s">
        <v>1171</v>
      </c>
      <c r="I68" s="27" t="s">
        <v>255</v>
      </c>
      <c r="J68" s="27">
        <v>1</v>
      </c>
      <c r="K68" s="27" t="s">
        <v>500</v>
      </c>
      <c r="L68" s="21" t="s">
        <v>492</v>
      </c>
      <c r="M68" s="21" t="s">
        <v>72</v>
      </c>
      <c r="N68" s="27" t="s">
        <v>523</v>
      </c>
      <c r="O68" s="27" t="s">
        <v>626</v>
      </c>
      <c r="P68" s="27"/>
      <c r="Q68" s="22" t="s">
        <v>627</v>
      </c>
    </row>
    <row r="69" spans="1:17" ht="24.75" hidden="1" customHeight="1">
      <c r="A69" s="19">
        <v>27</v>
      </c>
      <c r="B69" s="23" t="s">
        <v>402</v>
      </c>
      <c r="C69" s="23" t="s">
        <v>469</v>
      </c>
      <c r="D69" s="24"/>
      <c r="E69" s="24"/>
      <c r="F69" s="24"/>
      <c r="G69" s="25"/>
      <c r="H69" s="25" t="s">
        <v>1171</v>
      </c>
      <c r="I69" s="24" t="s">
        <v>255</v>
      </c>
      <c r="J69" s="24">
        <v>1</v>
      </c>
      <c r="K69" s="24" t="s">
        <v>474</v>
      </c>
      <c r="L69" s="23" t="s">
        <v>492</v>
      </c>
      <c r="M69" s="24" t="s">
        <v>72</v>
      </c>
      <c r="N69" s="24" t="s">
        <v>53</v>
      </c>
      <c r="O69" s="24" t="s">
        <v>477</v>
      </c>
      <c r="P69" s="24"/>
      <c r="Q69" s="34" t="s">
        <v>628</v>
      </c>
    </row>
    <row r="70" spans="1:17" ht="12.95" hidden="1" customHeight="1">
      <c r="A70" s="19"/>
      <c r="B70" s="27" t="s">
        <v>401</v>
      </c>
      <c r="C70" s="27" t="s">
        <v>469</v>
      </c>
      <c r="D70" s="27"/>
      <c r="E70" s="27"/>
      <c r="F70" s="27"/>
      <c r="G70" s="20"/>
      <c r="H70" s="20"/>
      <c r="I70" s="24" t="s">
        <v>153</v>
      </c>
      <c r="J70" s="24">
        <v>1</v>
      </c>
      <c r="K70" s="24" t="s">
        <v>474</v>
      </c>
      <c r="L70" s="23" t="s">
        <v>492</v>
      </c>
      <c r="M70" s="24" t="s">
        <v>72</v>
      </c>
      <c r="N70" s="24" t="s">
        <v>53</v>
      </c>
      <c r="O70" s="24" t="s">
        <v>477</v>
      </c>
      <c r="P70" s="24"/>
      <c r="Q70" s="34" t="s">
        <v>629</v>
      </c>
    </row>
    <row r="71" spans="1:17" ht="22.5" hidden="1">
      <c r="A71" s="19">
        <v>28</v>
      </c>
      <c r="B71" s="23" t="s">
        <v>402</v>
      </c>
      <c r="C71" s="23" t="s">
        <v>469</v>
      </c>
      <c r="D71" s="24"/>
      <c r="E71" s="24"/>
      <c r="F71" s="24"/>
      <c r="G71" s="25"/>
      <c r="H71" s="25"/>
      <c r="I71" s="27" t="s">
        <v>20</v>
      </c>
      <c r="J71" s="27">
        <v>1</v>
      </c>
      <c r="K71" s="27" t="s">
        <v>500</v>
      </c>
      <c r="L71" s="21" t="s">
        <v>492</v>
      </c>
      <c r="M71" s="27" t="s">
        <v>72</v>
      </c>
      <c r="N71" s="27" t="s">
        <v>53</v>
      </c>
      <c r="O71" s="27" t="s">
        <v>477</v>
      </c>
      <c r="P71" s="27"/>
      <c r="Q71" s="22" t="s">
        <v>631</v>
      </c>
    </row>
    <row r="72" spans="1:17" ht="24" hidden="1" customHeight="1">
      <c r="A72" s="19">
        <v>29</v>
      </c>
      <c r="B72" s="24" t="s">
        <v>404</v>
      </c>
      <c r="C72" s="24" t="s">
        <v>469</v>
      </c>
      <c r="D72" s="24" t="s">
        <v>632</v>
      </c>
      <c r="E72" s="24"/>
      <c r="F72" s="24" t="s">
        <v>633</v>
      </c>
      <c r="G72" s="25" t="s">
        <v>634</v>
      </c>
      <c r="H72" s="25" t="s">
        <v>1171</v>
      </c>
      <c r="I72" s="23" t="s">
        <v>255</v>
      </c>
      <c r="J72" s="23">
        <v>2</v>
      </c>
      <c r="K72" s="23" t="s">
        <v>479</v>
      </c>
      <c r="L72" s="23" t="s">
        <v>492</v>
      </c>
      <c r="M72" s="23" t="s">
        <v>72</v>
      </c>
      <c r="N72" s="23" t="s">
        <v>53</v>
      </c>
      <c r="O72" s="23" t="s">
        <v>477</v>
      </c>
      <c r="P72" s="23"/>
      <c r="Q72" s="34" t="s">
        <v>635</v>
      </c>
    </row>
    <row r="73" spans="1:17" ht="12.95" hidden="1" customHeight="1">
      <c r="A73" s="19"/>
      <c r="B73" s="24" t="s">
        <v>404</v>
      </c>
      <c r="C73" s="24" t="s">
        <v>469</v>
      </c>
      <c r="D73" s="24" t="s">
        <v>632</v>
      </c>
      <c r="E73" s="24"/>
      <c r="F73" s="24" t="s">
        <v>633</v>
      </c>
      <c r="G73" s="25" t="s">
        <v>634</v>
      </c>
      <c r="H73" s="25"/>
      <c r="I73" s="23" t="s">
        <v>330</v>
      </c>
      <c r="J73" s="23">
        <v>1</v>
      </c>
      <c r="K73" s="23" t="s">
        <v>479</v>
      </c>
      <c r="L73" s="23" t="s">
        <v>492</v>
      </c>
      <c r="M73" s="23" t="s">
        <v>72</v>
      </c>
      <c r="N73" s="23" t="s">
        <v>53</v>
      </c>
      <c r="O73" s="23" t="s">
        <v>477</v>
      </c>
      <c r="P73" s="23"/>
      <c r="Q73" s="34" t="s">
        <v>636</v>
      </c>
    </row>
    <row r="74" spans="1:17" ht="12" hidden="1">
      <c r="A74" s="19"/>
      <c r="B74" s="24" t="s">
        <v>404</v>
      </c>
      <c r="C74" s="24" t="s">
        <v>469</v>
      </c>
      <c r="D74" s="24" t="s">
        <v>632</v>
      </c>
      <c r="E74" s="24"/>
      <c r="F74" s="24" t="s">
        <v>633</v>
      </c>
      <c r="G74" s="25" t="s">
        <v>634</v>
      </c>
      <c r="H74" s="25" t="s">
        <v>1152</v>
      </c>
      <c r="I74" s="23" t="s">
        <v>51</v>
      </c>
      <c r="J74" s="23">
        <v>1</v>
      </c>
      <c r="K74" s="23" t="s">
        <v>479</v>
      </c>
      <c r="L74" s="23" t="s">
        <v>492</v>
      </c>
      <c r="M74" s="23" t="s">
        <v>72</v>
      </c>
      <c r="N74" s="23" t="s">
        <v>53</v>
      </c>
      <c r="O74" s="23" t="s">
        <v>477</v>
      </c>
      <c r="P74" s="23"/>
      <c r="Q74" s="34" t="s">
        <v>636</v>
      </c>
    </row>
    <row r="75" spans="1:17" ht="12.95" hidden="1" customHeight="1">
      <c r="A75" s="19"/>
      <c r="B75" s="24" t="s">
        <v>404</v>
      </c>
      <c r="C75" s="24" t="s">
        <v>469</v>
      </c>
      <c r="D75" s="24" t="s">
        <v>632</v>
      </c>
      <c r="E75" s="24"/>
      <c r="F75" s="24" t="s">
        <v>633</v>
      </c>
      <c r="G75" s="25" t="s">
        <v>634</v>
      </c>
      <c r="H75" s="25" t="s">
        <v>1185</v>
      </c>
      <c r="I75" s="23" t="s">
        <v>637</v>
      </c>
      <c r="J75" s="23">
        <v>2</v>
      </c>
      <c r="K75" s="23" t="s">
        <v>479</v>
      </c>
      <c r="L75" s="23" t="s">
        <v>492</v>
      </c>
      <c r="M75" s="23" t="s">
        <v>72</v>
      </c>
      <c r="N75" s="23" t="s">
        <v>53</v>
      </c>
      <c r="O75" s="23" t="s">
        <v>477</v>
      </c>
      <c r="P75" s="23"/>
      <c r="Q75" s="34" t="s">
        <v>636</v>
      </c>
    </row>
    <row r="76" spans="1:17" ht="12">
      <c r="A76" s="19"/>
      <c r="B76" s="24" t="s">
        <v>404</v>
      </c>
      <c r="C76" s="24" t="s">
        <v>469</v>
      </c>
      <c r="D76" s="24" t="s">
        <v>632</v>
      </c>
      <c r="E76" s="24"/>
      <c r="F76" s="24" t="s">
        <v>633</v>
      </c>
      <c r="G76" s="25" t="s">
        <v>634</v>
      </c>
      <c r="H76" s="25"/>
      <c r="I76" s="23" t="s">
        <v>111</v>
      </c>
      <c r="J76" s="23">
        <v>1</v>
      </c>
      <c r="K76" s="23" t="s">
        <v>479</v>
      </c>
      <c r="L76" s="23" t="s">
        <v>492</v>
      </c>
      <c r="M76" s="23" t="s">
        <v>72</v>
      </c>
      <c r="N76" s="23" t="s">
        <v>53</v>
      </c>
      <c r="O76" s="23" t="s">
        <v>477</v>
      </c>
      <c r="P76" s="23"/>
      <c r="Q76" s="34" t="s">
        <v>636</v>
      </c>
    </row>
    <row r="77" spans="1:17" ht="22.5" customHeight="1">
      <c r="A77" s="19">
        <v>30</v>
      </c>
      <c r="B77" s="27" t="s">
        <v>912</v>
      </c>
      <c r="C77" s="27" t="s">
        <v>469</v>
      </c>
      <c r="D77" s="27" t="s">
        <v>913</v>
      </c>
      <c r="E77" s="21" t="s">
        <v>1186</v>
      </c>
      <c r="F77" s="21" t="s">
        <v>1187</v>
      </c>
      <c r="G77" s="30" t="s">
        <v>1188</v>
      </c>
      <c r="H77" s="30"/>
      <c r="I77" s="21" t="s">
        <v>111</v>
      </c>
      <c r="J77" s="21">
        <v>1</v>
      </c>
      <c r="K77" s="21" t="s">
        <v>479</v>
      </c>
      <c r="L77" s="21" t="s">
        <v>560</v>
      </c>
      <c r="M77" s="21" t="s">
        <v>476</v>
      </c>
      <c r="N77" s="21" t="s">
        <v>14</v>
      </c>
      <c r="O77" s="21" t="s">
        <v>477</v>
      </c>
      <c r="P77" s="21"/>
      <c r="Q77" s="22" t="s">
        <v>641</v>
      </c>
    </row>
    <row r="78" spans="1:17" ht="12" customHeight="1">
      <c r="A78" s="19">
        <v>31</v>
      </c>
      <c r="B78" s="24" t="s">
        <v>398</v>
      </c>
      <c r="C78" s="24" t="s">
        <v>469</v>
      </c>
      <c r="D78" s="24" t="s">
        <v>1189</v>
      </c>
      <c r="E78" s="23" t="s">
        <v>1190</v>
      </c>
      <c r="F78" s="23" t="s">
        <v>1191</v>
      </c>
      <c r="G78" s="25" t="s">
        <v>1192</v>
      </c>
      <c r="H78" s="25"/>
      <c r="I78" s="23" t="s">
        <v>20</v>
      </c>
      <c r="J78" s="23">
        <v>1</v>
      </c>
      <c r="K78" s="23" t="s">
        <v>479</v>
      </c>
      <c r="L78" s="23" t="s">
        <v>530</v>
      </c>
      <c r="M78" s="23" t="s">
        <v>476</v>
      </c>
      <c r="N78" s="23" t="s">
        <v>14</v>
      </c>
      <c r="O78" s="23" t="s">
        <v>477</v>
      </c>
      <c r="P78" s="23"/>
      <c r="Q78" s="34" t="s">
        <v>1193</v>
      </c>
    </row>
    <row r="79" spans="1:17" ht="12.95" customHeight="1">
      <c r="A79" s="19"/>
      <c r="B79" s="24" t="s">
        <v>398</v>
      </c>
      <c r="C79" s="24" t="s">
        <v>469</v>
      </c>
      <c r="D79" s="24" t="s">
        <v>1189</v>
      </c>
      <c r="E79" s="23" t="s">
        <v>1190</v>
      </c>
      <c r="F79" s="23" t="s">
        <v>1191</v>
      </c>
      <c r="G79" s="25" t="s">
        <v>1192</v>
      </c>
      <c r="H79" s="25"/>
      <c r="I79" s="23" t="s">
        <v>71</v>
      </c>
      <c r="J79" s="23">
        <v>1</v>
      </c>
      <c r="K79" s="23" t="s">
        <v>479</v>
      </c>
      <c r="L79" s="23" t="s">
        <v>530</v>
      </c>
      <c r="M79" s="23" t="s">
        <v>476</v>
      </c>
      <c r="N79" s="23" t="s">
        <v>14</v>
      </c>
      <c r="O79" s="23" t="s">
        <v>477</v>
      </c>
      <c r="P79" s="23"/>
      <c r="Q79" s="34"/>
    </row>
    <row r="80" spans="1:17" ht="12.95" customHeight="1">
      <c r="A80" s="19"/>
      <c r="B80" s="24" t="s">
        <v>398</v>
      </c>
      <c r="C80" s="24" t="s">
        <v>469</v>
      </c>
      <c r="D80" s="24" t="s">
        <v>1189</v>
      </c>
      <c r="E80" s="23" t="s">
        <v>1190</v>
      </c>
      <c r="F80" s="23" t="s">
        <v>1191</v>
      </c>
      <c r="G80" s="25" t="s">
        <v>1192</v>
      </c>
      <c r="H80" s="25"/>
      <c r="I80" s="23" t="s">
        <v>330</v>
      </c>
      <c r="J80" s="23">
        <v>1</v>
      </c>
      <c r="K80" s="23" t="s">
        <v>479</v>
      </c>
      <c r="L80" s="23" t="s">
        <v>530</v>
      </c>
      <c r="M80" s="23" t="s">
        <v>476</v>
      </c>
      <c r="N80" s="23" t="s">
        <v>14</v>
      </c>
      <c r="O80" s="23" t="s">
        <v>477</v>
      </c>
      <c r="P80" s="23"/>
      <c r="Q80" s="34"/>
    </row>
    <row r="81" spans="1:17" ht="12.95" customHeight="1">
      <c r="A81" s="19"/>
      <c r="B81" s="24" t="s">
        <v>398</v>
      </c>
      <c r="C81" s="24" t="s">
        <v>469</v>
      </c>
      <c r="D81" s="24" t="s">
        <v>1189</v>
      </c>
      <c r="E81" s="23" t="s">
        <v>1190</v>
      </c>
      <c r="F81" s="23" t="s">
        <v>1191</v>
      </c>
      <c r="G81" s="25" t="s">
        <v>1192</v>
      </c>
      <c r="H81" s="25"/>
      <c r="I81" s="23" t="s">
        <v>39</v>
      </c>
      <c r="J81" s="23">
        <v>1</v>
      </c>
      <c r="K81" s="23" t="s">
        <v>479</v>
      </c>
      <c r="L81" s="23" t="s">
        <v>530</v>
      </c>
      <c r="M81" s="23" t="s">
        <v>476</v>
      </c>
      <c r="N81" s="23" t="s">
        <v>14</v>
      </c>
      <c r="O81" s="23" t="s">
        <v>477</v>
      </c>
      <c r="P81" s="23"/>
      <c r="Q81" s="34"/>
    </row>
    <row r="82" spans="1:17" ht="12.95" customHeight="1">
      <c r="A82" s="19"/>
      <c r="B82" s="24" t="s">
        <v>398</v>
      </c>
      <c r="C82" s="24" t="s">
        <v>469</v>
      </c>
      <c r="D82" s="24" t="s">
        <v>1189</v>
      </c>
      <c r="E82" s="23" t="s">
        <v>1190</v>
      </c>
      <c r="F82" s="23" t="s">
        <v>1191</v>
      </c>
      <c r="G82" s="25" t="s">
        <v>1192</v>
      </c>
      <c r="H82" s="25" t="s">
        <v>1152</v>
      </c>
      <c r="I82" s="23" t="s">
        <v>649</v>
      </c>
      <c r="J82" s="23">
        <v>2</v>
      </c>
      <c r="K82" s="23" t="s">
        <v>479</v>
      </c>
      <c r="L82" s="23" t="s">
        <v>530</v>
      </c>
      <c r="M82" s="23" t="s">
        <v>476</v>
      </c>
      <c r="N82" s="23" t="s">
        <v>14</v>
      </c>
      <c r="O82" s="23" t="s">
        <v>477</v>
      </c>
      <c r="P82" s="23"/>
      <c r="Q82" s="34"/>
    </row>
    <row r="83" spans="1:17" ht="12.95" customHeight="1">
      <c r="A83" s="19"/>
      <c r="B83" s="24" t="s">
        <v>398</v>
      </c>
      <c r="C83" s="24" t="s">
        <v>469</v>
      </c>
      <c r="D83" s="24" t="s">
        <v>1189</v>
      </c>
      <c r="E83" s="23" t="s">
        <v>1190</v>
      </c>
      <c r="F83" s="23" t="s">
        <v>1191</v>
      </c>
      <c r="G83" s="25" t="s">
        <v>1192</v>
      </c>
      <c r="H83" s="25" t="s">
        <v>1171</v>
      </c>
      <c r="I83" s="23" t="s">
        <v>255</v>
      </c>
      <c r="J83" s="23">
        <v>2</v>
      </c>
      <c r="K83" s="23" t="s">
        <v>479</v>
      </c>
      <c r="L83" s="23" t="s">
        <v>530</v>
      </c>
      <c r="M83" s="23" t="s">
        <v>476</v>
      </c>
      <c r="N83" s="23" t="s">
        <v>14</v>
      </c>
      <c r="O83" s="23" t="s">
        <v>477</v>
      </c>
      <c r="P83" s="23"/>
      <c r="Q83" s="34"/>
    </row>
    <row r="84" spans="1:17" ht="12" customHeight="1">
      <c r="A84" s="19"/>
      <c r="B84" s="24" t="s">
        <v>398</v>
      </c>
      <c r="C84" s="24" t="s">
        <v>469</v>
      </c>
      <c r="D84" s="24" t="s">
        <v>1189</v>
      </c>
      <c r="E84" s="23" t="s">
        <v>1190</v>
      </c>
      <c r="F84" s="23" t="s">
        <v>1191</v>
      </c>
      <c r="G84" s="25" t="s">
        <v>1192</v>
      </c>
      <c r="H84" s="25"/>
      <c r="I84" s="23" t="s">
        <v>153</v>
      </c>
      <c r="J84" s="23">
        <v>1</v>
      </c>
      <c r="K84" s="23" t="s">
        <v>500</v>
      </c>
      <c r="L84" s="23" t="s">
        <v>530</v>
      </c>
      <c r="M84" s="23" t="s">
        <v>476</v>
      </c>
      <c r="N84" s="23" t="s">
        <v>14</v>
      </c>
      <c r="O84" s="23" t="s">
        <v>477</v>
      </c>
      <c r="P84" s="23"/>
      <c r="Q84" s="34"/>
    </row>
    <row r="85" spans="1:17" ht="12">
      <c r="A85" s="19"/>
      <c r="B85" s="24" t="s">
        <v>398</v>
      </c>
      <c r="C85" s="24" t="s">
        <v>469</v>
      </c>
      <c r="D85" s="24" t="s">
        <v>1189</v>
      </c>
      <c r="E85" s="23" t="s">
        <v>1190</v>
      </c>
      <c r="F85" s="23" t="s">
        <v>1191</v>
      </c>
      <c r="G85" s="25" t="s">
        <v>1192</v>
      </c>
      <c r="H85" s="25" t="s">
        <v>1152</v>
      </c>
      <c r="I85" s="23" t="s">
        <v>58</v>
      </c>
      <c r="J85" s="23">
        <v>1</v>
      </c>
      <c r="K85" s="23" t="s">
        <v>500</v>
      </c>
      <c r="L85" s="23" t="s">
        <v>530</v>
      </c>
      <c r="M85" s="23" t="s">
        <v>476</v>
      </c>
      <c r="N85" s="23" t="s">
        <v>14</v>
      </c>
      <c r="O85" s="23" t="s">
        <v>477</v>
      </c>
      <c r="P85" s="23"/>
      <c r="Q85" s="34"/>
    </row>
    <row r="86" spans="1:17" ht="12" hidden="1" customHeight="1">
      <c r="A86" s="19">
        <v>32</v>
      </c>
      <c r="B86" s="27" t="s">
        <v>49</v>
      </c>
      <c r="C86" s="27" t="s">
        <v>469</v>
      </c>
      <c r="D86" s="27" t="s">
        <v>50</v>
      </c>
      <c r="E86" s="21" t="s">
        <v>653</v>
      </c>
      <c r="F86" s="21" t="s">
        <v>1194</v>
      </c>
      <c r="G86" s="30"/>
      <c r="H86" s="30"/>
      <c r="I86" s="21" t="s">
        <v>39</v>
      </c>
      <c r="J86" s="21">
        <v>1</v>
      </c>
      <c r="K86" s="21" t="s">
        <v>479</v>
      </c>
      <c r="L86" s="21" t="s">
        <v>492</v>
      </c>
      <c r="M86" s="21" t="s">
        <v>476</v>
      </c>
      <c r="N86" s="21" t="s">
        <v>53</v>
      </c>
      <c r="O86" s="21" t="s">
        <v>477</v>
      </c>
      <c r="P86" s="21"/>
      <c r="Q86" s="35" t="s">
        <v>1195</v>
      </c>
    </row>
    <row r="87" spans="1:17" ht="12" hidden="1">
      <c r="A87" s="19"/>
      <c r="B87" s="27" t="s">
        <v>49</v>
      </c>
      <c r="C87" s="27" t="s">
        <v>469</v>
      </c>
      <c r="D87" s="27" t="s">
        <v>50</v>
      </c>
      <c r="E87" s="21" t="s">
        <v>653</v>
      </c>
      <c r="F87" s="21" t="s">
        <v>1194</v>
      </c>
      <c r="G87" s="30"/>
      <c r="H87" s="30"/>
      <c r="I87" s="21" t="s">
        <v>580</v>
      </c>
      <c r="J87" s="21">
        <v>1</v>
      </c>
      <c r="K87" s="21" t="s">
        <v>479</v>
      </c>
      <c r="L87" s="21" t="s">
        <v>492</v>
      </c>
      <c r="M87" s="21" t="s">
        <v>476</v>
      </c>
      <c r="N87" s="21" t="s">
        <v>53</v>
      </c>
      <c r="O87" s="21" t="s">
        <v>477</v>
      </c>
      <c r="P87" s="21"/>
      <c r="Q87" s="35"/>
    </row>
    <row r="88" spans="1:17" ht="12.95" hidden="1" customHeight="1">
      <c r="A88" s="19"/>
      <c r="B88" s="27" t="s">
        <v>49</v>
      </c>
      <c r="C88" s="27" t="s">
        <v>469</v>
      </c>
      <c r="D88" s="27" t="s">
        <v>50</v>
      </c>
      <c r="E88" s="21" t="s">
        <v>653</v>
      </c>
      <c r="F88" s="21" t="s">
        <v>1194</v>
      </c>
      <c r="G88" s="30"/>
      <c r="H88" s="30" t="s">
        <v>1171</v>
      </c>
      <c r="I88" s="21" t="s">
        <v>255</v>
      </c>
      <c r="J88" s="21">
        <v>6</v>
      </c>
      <c r="K88" s="21" t="s">
        <v>521</v>
      </c>
      <c r="L88" s="21" t="s">
        <v>492</v>
      </c>
      <c r="M88" s="21" t="s">
        <v>476</v>
      </c>
      <c r="N88" s="21" t="s">
        <v>53</v>
      </c>
      <c r="O88" s="21" t="s">
        <v>477</v>
      </c>
      <c r="P88" s="21"/>
      <c r="Q88" s="35"/>
    </row>
    <row r="89" spans="1:17" ht="12.95" hidden="1" customHeight="1">
      <c r="A89" s="19"/>
      <c r="B89" s="27" t="s">
        <v>49</v>
      </c>
      <c r="C89" s="27" t="s">
        <v>469</v>
      </c>
      <c r="D89" s="27" t="s">
        <v>50</v>
      </c>
      <c r="E89" s="21" t="s">
        <v>653</v>
      </c>
      <c r="F89" s="21" t="s">
        <v>1194</v>
      </c>
      <c r="G89" s="30"/>
      <c r="H89" s="21" t="s">
        <v>1196</v>
      </c>
      <c r="I89" s="21" t="s">
        <v>637</v>
      </c>
      <c r="J89" s="21">
        <v>5</v>
      </c>
      <c r="K89" s="21" t="s">
        <v>521</v>
      </c>
      <c r="L89" s="21" t="s">
        <v>492</v>
      </c>
      <c r="M89" s="21" t="s">
        <v>476</v>
      </c>
      <c r="N89" s="21" t="s">
        <v>53</v>
      </c>
      <c r="O89" s="21" t="s">
        <v>477</v>
      </c>
      <c r="P89" s="21"/>
      <c r="Q89" s="35" t="s">
        <v>1197</v>
      </c>
    </row>
    <row r="90" spans="1:17" ht="12.95" hidden="1" customHeight="1">
      <c r="A90" s="19"/>
      <c r="B90" s="27" t="s">
        <v>49</v>
      </c>
      <c r="C90" s="27" t="s">
        <v>469</v>
      </c>
      <c r="D90" s="27" t="s">
        <v>50</v>
      </c>
      <c r="E90" s="21" t="s">
        <v>653</v>
      </c>
      <c r="F90" s="21" t="s">
        <v>1194</v>
      </c>
      <c r="G90" s="30"/>
      <c r="H90" s="30"/>
      <c r="I90" s="21" t="s">
        <v>330</v>
      </c>
      <c r="J90" s="21">
        <v>5</v>
      </c>
      <c r="K90" s="21" t="s">
        <v>659</v>
      </c>
      <c r="L90" s="21" t="s">
        <v>492</v>
      </c>
      <c r="M90" s="21" t="s">
        <v>476</v>
      </c>
      <c r="N90" s="21" t="s">
        <v>53</v>
      </c>
      <c r="O90" s="21" t="s">
        <v>477</v>
      </c>
      <c r="P90" s="21"/>
      <c r="Q90" s="35"/>
    </row>
    <row r="91" spans="1:17" ht="12" hidden="1">
      <c r="A91" s="19"/>
      <c r="B91" s="27" t="s">
        <v>49</v>
      </c>
      <c r="C91" s="27" t="s">
        <v>469</v>
      </c>
      <c r="D91" s="27" t="s">
        <v>50</v>
      </c>
      <c r="E91" s="21" t="s">
        <v>653</v>
      </c>
      <c r="F91" s="21" t="s">
        <v>1194</v>
      </c>
      <c r="G91" s="30"/>
      <c r="H91" s="30" t="s">
        <v>1152</v>
      </c>
      <c r="I91" s="21" t="s">
        <v>51</v>
      </c>
      <c r="J91" s="21">
        <v>4</v>
      </c>
      <c r="K91" s="21" t="s">
        <v>660</v>
      </c>
      <c r="L91" s="21" t="s">
        <v>492</v>
      </c>
      <c r="M91" s="21" t="s">
        <v>476</v>
      </c>
      <c r="N91" s="21" t="s">
        <v>53</v>
      </c>
      <c r="O91" s="21" t="s">
        <v>477</v>
      </c>
      <c r="P91" s="21"/>
      <c r="Q91" s="35"/>
    </row>
    <row r="92" spans="1:17" ht="12.95" hidden="1" customHeight="1">
      <c r="A92" s="19"/>
      <c r="B92" s="27" t="s">
        <v>49</v>
      </c>
      <c r="C92" s="27" t="s">
        <v>469</v>
      </c>
      <c r="D92" s="27" t="s">
        <v>50</v>
      </c>
      <c r="E92" s="21" t="s">
        <v>653</v>
      </c>
      <c r="F92" s="21" t="s">
        <v>1194</v>
      </c>
      <c r="G92" s="30"/>
      <c r="H92" s="30" t="s">
        <v>1152</v>
      </c>
      <c r="I92" s="21" t="s">
        <v>598</v>
      </c>
      <c r="J92" s="21">
        <v>1</v>
      </c>
      <c r="K92" s="21" t="s">
        <v>585</v>
      </c>
      <c r="L92" s="21" t="s">
        <v>662</v>
      </c>
      <c r="M92" s="21" t="s">
        <v>476</v>
      </c>
      <c r="N92" s="21" t="s">
        <v>53</v>
      </c>
      <c r="O92" s="21" t="s">
        <v>477</v>
      </c>
      <c r="P92" s="21"/>
      <c r="Q92" s="35"/>
    </row>
    <row r="93" spans="1:17" ht="12.95" hidden="1" customHeight="1">
      <c r="A93" s="19"/>
      <c r="B93" s="27" t="s">
        <v>49</v>
      </c>
      <c r="C93" s="27" t="s">
        <v>469</v>
      </c>
      <c r="D93" s="27" t="s">
        <v>50</v>
      </c>
      <c r="E93" s="21" t="s">
        <v>653</v>
      </c>
      <c r="F93" s="21" t="s">
        <v>1194</v>
      </c>
      <c r="G93" s="30"/>
      <c r="H93" s="30"/>
      <c r="I93" s="21" t="s">
        <v>664</v>
      </c>
      <c r="J93" s="21">
        <v>1</v>
      </c>
      <c r="K93" s="21" t="s">
        <v>665</v>
      </c>
      <c r="L93" s="21" t="s">
        <v>662</v>
      </c>
      <c r="M93" s="21" t="s">
        <v>476</v>
      </c>
      <c r="N93" s="21" t="s">
        <v>53</v>
      </c>
      <c r="O93" s="21" t="s">
        <v>477</v>
      </c>
      <c r="P93" s="21"/>
      <c r="Q93" s="35" t="s">
        <v>1198</v>
      </c>
    </row>
    <row r="94" spans="1:17" ht="24" hidden="1" customHeight="1">
      <c r="A94" s="19">
        <v>33</v>
      </c>
      <c r="B94" s="24" t="s">
        <v>405</v>
      </c>
      <c r="C94" s="24" t="s">
        <v>469</v>
      </c>
      <c r="D94" s="23" t="s">
        <v>667</v>
      </c>
      <c r="E94" s="23"/>
      <c r="F94" s="23" t="s">
        <v>668</v>
      </c>
      <c r="G94" s="28"/>
      <c r="H94" s="28"/>
      <c r="I94" s="24" t="s">
        <v>178</v>
      </c>
      <c r="J94" s="24">
        <v>1</v>
      </c>
      <c r="K94" s="24"/>
      <c r="L94" s="23" t="s">
        <v>522</v>
      </c>
      <c r="M94" s="24" t="s">
        <v>72</v>
      </c>
      <c r="N94" s="24" t="s">
        <v>523</v>
      </c>
      <c r="O94" s="24" t="s">
        <v>477</v>
      </c>
      <c r="P94" s="24"/>
      <c r="Q94" s="34" t="s">
        <v>669</v>
      </c>
    </row>
    <row r="95" spans="1:17" ht="12.95" hidden="1" customHeight="1">
      <c r="A95" s="19"/>
      <c r="B95" s="24" t="s">
        <v>405</v>
      </c>
      <c r="C95" s="24" t="s">
        <v>469</v>
      </c>
      <c r="D95" s="23" t="s">
        <v>667</v>
      </c>
      <c r="E95" s="23"/>
      <c r="F95" s="23" t="s">
        <v>668</v>
      </c>
      <c r="G95" s="28"/>
      <c r="H95" s="28" t="s">
        <v>1171</v>
      </c>
      <c r="I95" s="24" t="s">
        <v>255</v>
      </c>
      <c r="J95" s="24">
        <v>2</v>
      </c>
      <c r="K95" s="24"/>
      <c r="L95" s="23" t="s">
        <v>492</v>
      </c>
      <c r="M95" s="24" t="s">
        <v>72</v>
      </c>
      <c r="N95" s="24" t="s">
        <v>53</v>
      </c>
      <c r="O95" s="24" t="s">
        <v>477</v>
      </c>
      <c r="P95" s="24"/>
      <c r="Q95" s="34"/>
    </row>
    <row r="96" spans="1:17" ht="12.95" hidden="1" customHeight="1">
      <c r="A96" s="19"/>
      <c r="B96" s="24" t="s">
        <v>405</v>
      </c>
      <c r="C96" s="24" t="s">
        <v>469</v>
      </c>
      <c r="D96" s="23" t="s">
        <v>667</v>
      </c>
      <c r="E96" s="23"/>
      <c r="F96" s="23" t="s">
        <v>668</v>
      </c>
      <c r="G96" s="28"/>
      <c r="H96" s="28"/>
      <c r="I96" s="24" t="s">
        <v>111</v>
      </c>
      <c r="J96" s="24">
        <v>1</v>
      </c>
      <c r="K96" s="24"/>
      <c r="L96" s="23" t="s">
        <v>522</v>
      </c>
      <c r="M96" s="24" t="s">
        <v>72</v>
      </c>
      <c r="N96" s="24" t="s">
        <v>53</v>
      </c>
      <c r="O96" s="24" t="s">
        <v>477</v>
      </c>
      <c r="P96" s="24"/>
      <c r="Q96" s="34"/>
    </row>
    <row r="97" spans="1:17" ht="12.95" hidden="1" customHeight="1">
      <c r="A97" s="19"/>
      <c r="B97" s="24" t="s">
        <v>405</v>
      </c>
      <c r="C97" s="24" t="s">
        <v>469</v>
      </c>
      <c r="D97" s="23" t="s">
        <v>667</v>
      </c>
      <c r="E97" s="23"/>
      <c r="F97" s="23" t="s">
        <v>668</v>
      </c>
      <c r="G97" s="28"/>
      <c r="H97" s="28"/>
      <c r="I97" s="24" t="s">
        <v>25</v>
      </c>
      <c r="J97" s="24">
        <v>1</v>
      </c>
      <c r="K97" s="24"/>
      <c r="L97" s="23" t="s">
        <v>522</v>
      </c>
      <c r="M97" s="24" t="s">
        <v>72</v>
      </c>
      <c r="N97" s="24" t="s">
        <v>523</v>
      </c>
      <c r="O97" s="24" t="s">
        <v>477</v>
      </c>
      <c r="P97" s="24"/>
      <c r="Q97" s="34"/>
    </row>
    <row r="98" spans="1:17" ht="12.95" hidden="1" customHeight="1">
      <c r="A98" s="19"/>
      <c r="B98" s="24" t="s">
        <v>405</v>
      </c>
      <c r="C98" s="24" t="s">
        <v>469</v>
      </c>
      <c r="D98" s="23" t="s">
        <v>667</v>
      </c>
      <c r="E98" s="23"/>
      <c r="F98" s="23" t="s">
        <v>668</v>
      </c>
      <c r="G98" s="28"/>
      <c r="H98" s="28"/>
      <c r="I98" s="24" t="s">
        <v>189</v>
      </c>
      <c r="J98" s="24">
        <v>1</v>
      </c>
      <c r="K98" s="24"/>
      <c r="L98" s="23" t="s">
        <v>530</v>
      </c>
      <c r="M98" s="24" t="s">
        <v>72</v>
      </c>
      <c r="N98" s="24" t="s">
        <v>523</v>
      </c>
      <c r="O98" s="24" t="s">
        <v>477</v>
      </c>
      <c r="P98" s="24"/>
      <c r="Q98" s="34"/>
    </row>
    <row r="99" spans="1:17" ht="12.95" hidden="1" customHeight="1">
      <c r="A99" s="19"/>
      <c r="B99" s="24" t="s">
        <v>405</v>
      </c>
      <c r="C99" s="24" t="s">
        <v>469</v>
      </c>
      <c r="D99" s="23" t="s">
        <v>667</v>
      </c>
      <c r="E99" s="23"/>
      <c r="F99" s="23" t="s">
        <v>668</v>
      </c>
      <c r="G99" s="28"/>
      <c r="H99" s="28"/>
      <c r="I99" s="24" t="s">
        <v>673</v>
      </c>
      <c r="J99" s="24">
        <v>1</v>
      </c>
      <c r="K99" s="24"/>
      <c r="L99" s="23" t="s">
        <v>492</v>
      </c>
      <c r="M99" s="24" t="s">
        <v>72</v>
      </c>
      <c r="N99" s="24" t="s">
        <v>53</v>
      </c>
      <c r="O99" s="24" t="s">
        <v>477</v>
      </c>
      <c r="P99" s="24"/>
      <c r="Q99" s="34"/>
    </row>
    <row r="100" spans="1:17" ht="12.95" hidden="1" customHeight="1">
      <c r="A100" s="19"/>
      <c r="B100" s="24" t="s">
        <v>405</v>
      </c>
      <c r="C100" s="24" t="s">
        <v>469</v>
      </c>
      <c r="D100" s="23" t="s">
        <v>667</v>
      </c>
      <c r="E100" s="23"/>
      <c r="F100" s="23" t="s">
        <v>668</v>
      </c>
      <c r="G100" s="28"/>
      <c r="H100" s="28"/>
      <c r="I100" s="24" t="s">
        <v>664</v>
      </c>
      <c r="J100" s="24">
        <v>1</v>
      </c>
      <c r="K100" s="24"/>
      <c r="L100" s="23" t="s">
        <v>522</v>
      </c>
      <c r="M100" s="24" t="s">
        <v>72</v>
      </c>
      <c r="N100" s="24" t="s">
        <v>523</v>
      </c>
      <c r="O100" s="24" t="s">
        <v>477</v>
      </c>
      <c r="P100" s="24"/>
      <c r="Q100" s="34"/>
    </row>
    <row r="101" spans="1:17" ht="28.5" hidden="1" customHeight="1">
      <c r="A101" s="19">
        <v>34</v>
      </c>
      <c r="B101" s="27" t="s">
        <v>406</v>
      </c>
      <c r="C101" s="27" t="s">
        <v>469</v>
      </c>
      <c r="D101" s="27" t="s">
        <v>677</v>
      </c>
      <c r="E101" s="21" t="s">
        <v>678</v>
      </c>
      <c r="F101" s="21" t="s">
        <v>679</v>
      </c>
      <c r="G101" s="20" t="s">
        <v>680</v>
      </c>
      <c r="H101" s="20" t="s">
        <v>1171</v>
      </c>
      <c r="I101" s="27" t="s">
        <v>681</v>
      </c>
      <c r="J101" s="27">
        <v>1</v>
      </c>
      <c r="K101" s="27"/>
      <c r="L101" s="27" t="s">
        <v>505</v>
      </c>
      <c r="M101" s="27" t="s">
        <v>72</v>
      </c>
      <c r="N101" s="27" t="s">
        <v>523</v>
      </c>
      <c r="O101" s="27" t="s">
        <v>477</v>
      </c>
      <c r="P101" s="27"/>
      <c r="Q101" s="35" t="s">
        <v>682</v>
      </c>
    </row>
    <row r="102" spans="1:17" ht="12.95" hidden="1" customHeight="1">
      <c r="A102" s="19"/>
      <c r="B102" s="27" t="s">
        <v>406</v>
      </c>
      <c r="C102" s="27" t="s">
        <v>469</v>
      </c>
      <c r="D102" s="27" t="s">
        <v>677</v>
      </c>
      <c r="E102" s="21" t="s">
        <v>678</v>
      </c>
      <c r="F102" s="21" t="s">
        <v>679</v>
      </c>
      <c r="G102" s="20" t="s">
        <v>680</v>
      </c>
      <c r="H102" s="20" t="s">
        <v>1185</v>
      </c>
      <c r="I102" s="27" t="s">
        <v>637</v>
      </c>
      <c r="J102" s="27">
        <v>1</v>
      </c>
      <c r="K102" s="27"/>
      <c r="L102" s="27" t="s">
        <v>505</v>
      </c>
      <c r="M102" s="27" t="s">
        <v>72</v>
      </c>
      <c r="N102" s="27" t="s">
        <v>523</v>
      </c>
      <c r="O102" s="27" t="s">
        <v>477</v>
      </c>
      <c r="P102" s="27"/>
      <c r="Q102" s="35"/>
    </row>
    <row r="103" spans="1:17" ht="12.95" hidden="1" customHeight="1">
      <c r="A103" s="19"/>
      <c r="B103" s="27" t="s">
        <v>406</v>
      </c>
      <c r="C103" s="27" t="s">
        <v>469</v>
      </c>
      <c r="D103" s="27" t="s">
        <v>677</v>
      </c>
      <c r="E103" s="21" t="s">
        <v>678</v>
      </c>
      <c r="F103" s="21" t="s">
        <v>679</v>
      </c>
      <c r="G103" s="20" t="s">
        <v>680</v>
      </c>
      <c r="H103" s="20"/>
      <c r="I103" s="27" t="s">
        <v>588</v>
      </c>
      <c r="J103" s="27">
        <v>1</v>
      </c>
      <c r="K103" s="27"/>
      <c r="L103" s="27" t="s">
        <v>530</v>
      </c>
      <c r="M103" s="27" t="s">
        <v>72</v>
      </c>
      <c r="N103" s="27" t="s">
        <v>523</v>
      </c>
      <c r="O103" s="27" t="s">
        <v>477</v>
      </c>
      <c r="P103" s="27"/>
      <c r="Q103" s="35"/>
    </row>
    <row r="104" spans="1:17" ht="24.75" hidden="1" customHeight="1">
      <c r="A104" s="19">
        <v>35</v>
      </c>
      <c r="B104" s="24" t="s">
        <v>407</v>
      </c>
      <c r="C104" s="24" t="s">
        <v>469</v>
      </c>
      <c r="D104" s="24" t="s">
        <v>683</v>
      </c>
      <c r="E104" s="24"/>
      <c r="F104" s="24" t="s">
        <v>684</v>
      </c>
      <c r="G104" s="25"/>
      <c r="H104" s="25"/>
      <c r="I104" s="24" t="s">
        <v>685</v>
      </c>
      <c r="J104" s="24">
        <v>1</v>
      </c>
      <c r="K104" s="24"/>
      <c r="L104" s="23" t="s">
        <v>530</v>
      </c>
      <c r="M104" s="24" t="s">
        <v>72</v>
      </c>
      <c r="N104" s="24" t="s">
        <v>523</v>
      </c>
      <c r="O104" s="24" t="s">
        <v>1161</v>
      </c>
      <c r="P104" s="24"/>
      <c r="Q104" s="26" t="s">
        <v>686</v>
      </c>
    </row>
    <row r="105" spans="1:17" ht="24.75" hidden="1" customHeight="1">
      <c r="A105" s="19">
        <v>36</v>
      </c>
      <c r="B105" s="27" t="s">
        <v>408</v>
      </c>
      <c r="C105" s="27" t="s">
        <v>469</v>
      </c>
      <c r="D105" s="27" t="s">
        <v>687</v>
      </c>
      <c r="E105" s="21" t="s">
        <v>688</v>
      </c>
      <c r="F105" s="21" t="s">
        <v>689</v>
      </c>
      <c r="G105" s="30"/>
      <c r="H105" s="30"/>
      <c r="I105" s="27" t="s">
        <v>685</v>
      </c>
      <c r="J105" s="27">
        <v>1</v>
      </c>
      <c r="K105" s="27"/>
      <c r="L105" s="21" t="s">
        <v>530</v>
      </c>
      <c r="M105" s="27" t="s">
        <v>72</v>
      </c>
      <c r="N105" s="27" t="s">
        <v>523</v>
      </c>
      <c r="O105" s="27" t="s">
        <v>1161</v>
      </c>
      <c r="P105" s="27"/>
      <c r="Q105" s="22" t="s">
        <v>686</v>
      </c>
    </row>
    <row r="106" spans="1:17" ht="12.95" hidden="1" customHeight="1">
      <c r="A106" s="19">
        <v>37</v>
      </c>
      <c r="B106" s="24" t="s">
        <v>409</v>
      </c>
      <c r="C106" s="24" t="s">
        <v>469</v>
      </c>
      <c r="D106" s="24" t="s">
        <v>1199</v>
      </c>
      <c r="E106" s="23" t="s">
        <v>691</v>
      </c>
      <c r="F106" s="23"/>
      <c r="G106" s="28"/>
      <c r="H106" s="28"/>
      <c r="I106" s="24" t="s">
        <v>693</v>
      </c>
      <c r="J106" s="24">
        <v>1</v>
      </c>
      <c r="K106" s="24" t="s">
        <v>479</v>
      </c>
      <c r="L106" s="23" t="s">
        <v>492</v>
      </c>
      <c r="M106" s="24" t="s">
        <v>72</v>
      </c>
      <c r="N106" s="24" t="s">
        <v>523</v>
      </c>
      <c r="O106" s="24" t="s">
        <v>1161</v>
      </c>
      <c r="P106" s="24"/>
      <c r="Q106" s="34" t="s">
        <v>694</v>
      </c>
    </row>
    <row r="107" spans="1:17" ht="12.95" hidden="1" customHeight="1">
      <c r="A107" s="19"/>
      <c r="B107" s="24" t="s">
        <v>409</v>
      </c>
      <c r="C107" s="24" t="s">
        <v>469</v>
      </c>
      <c r="D107" s="24" t="s">
        <v>1199</v>
      </c>
      <c r="E107" s="23" t="s">
        <v>691</v>
      </c>
      <c r="F107" s="23"/>
      <c r="G107" s="28"/>
      <c r="H107" s="28"/>
      <c r="I107" s="24" t="s">
        <v>111</v>
      </c>
      <c r="J107" s="24">
        <v>1</v>
      </c>
      <c r="K107" s="24" t="s">
        <v>479</v>
      </c>
      <c r="L107" s="23" t="s">
        <v>492</v>
      </c>
      <c r="M107" s="24" t="s">
        <v>72</v>
      </c>
      <c r="N107" s="24" t="s">
        <v>523</v>
      </c>
      <c r="O107" s="24" t="s">
        <v>1161</v>
      </c>
      <c r="P107" s="24"/>
      <c r="Q107" s="34"/>
    </row>
    <row r="108" spans="1:17" ht="12.95" hidden="1" customHeight="1">
      <c r="A108" s="19"/>
      <c r="B108" s="24" t="s">
        <v>409</v>
      </c>
      <c r="C108" s="24" t="s">
        <v>469</v>
      </c>
      <c r="D108" s="24" t="s">
        <v>1199</v>
      </c>
      <c r="E108" s="23" t="s">
        <v>691</v>
      </c>
      <c r="F108" s="23"/>
      <c r="G108" s="28"/>
      <c r="H108" s="28" t="s">
        <v>1171</v>
      </c>
      <c r="I108" s="24" t="s">
        <v>255</v>
      </c>
      <c r="J108" s="24">
        <v>2</v>
      </c>
      <c r="K108" s="24" t="s">
        <v>479</v>
      </c>
      <c r="L108" s="23" t="s">
        <v>492</v>
      </c>
      <c r="M108" s="24" t="s">
        <v>72</v>
      </c>
      <c r="N108" s="24" t="s">
        <v>523</v>
      </c>
      <c r="O108" s="24" t="s">
        <v>1161</v>
      </c>
      <c r="P108" s="24"/>
      <c r="Q108" s="34"/>
    </row>
    <row r="109" spans="1:17" ht="12.95" hidden="1" customHeight="1">
      <c r="A109" s="19"/>
      <c r="B109" s="24" t="s">
        <v>409</v>
      </c>
      <c r="C109" s="24" t="s">
        <v>469</v>
      </c>
      <c r="D109" s="24" t="s">
        <v>1199</v>
      </c>
      <c r="E109" s="23" t="s">
        <v>691</v>
      </c>
      <c r="F109" s="23"/>
      <c r="G109" s="28"/>
      <c r="H109" s="28"/>
      <c r="I109" s="24" t="s">
        <v>695</v>
      </c>
      <c r="J109" s="24">
        <v>2</v>
      </c>
      <c r="K109" s="24" t="s">
        <v>479</v>
      </c>
      <c r="L109" s="23" t="s">
        <v>492</v>
      </c>
      <c r="M109" s="24" t="s">
        <v>72</v>
      </c>
      <c r="N109" s="24" t="s">
        <v>523</v>
      </c>
      <c r="O109" s="24" t="s">
        <v>1161</v>
      </c>
      <c r="P109" s="24"/>
      <c r="Q109" s="34"/>
    </row>
    <row r="110" spans="1:17" ht="12.95" hidden="1" customHeight="1">
      <c r="A110" s="19"/>
      <c r="B110" s="24" t="s">
        <v>409</v>
      </c>
      <c r="C110" s="24" t="s">
        <v>469</v>
      </c>
      <c r="D110" s="24" t="s">
        <v>1199</v>
      </c>
      <c r="E110" s="23" t="s">
        <v>691</v>
      </c>
      <c r="F110" s="23"/>
      <c r="G110" s="28"/>
      <c r="H110" s="28"/>
      <c r="I110" s="24" t="s">
        <v>696</v>
      </c>
      <c r="J110" s="24">
        <v>1</v>
      </c>
      <c r="K110" s="24" t="s">
        <v>665</v>
      </c>
      <c r="L110" s="23" t="s">
        <v>492</v>
      </c>
      <c r="M110" s="24" t="s">
        <v>72</v>
      </c>
      <c r="N110" s="24" t="s">
        <v>523</v>
      </c>
      <c r="O110" s="24" t="s">
        <v>1161</v>
      </c>
      <c r="P110" s="24"/>
      <c r="Q110" s="34"/>
    </row>
    <row r="111" spans="1:17" ht="24.75" hidden="1" customHeight="1">
      <c r="A111" s="19">
        <v>38</v>
      </c>
      <c r="B111" s="27" t="s">
        <v>410</v>
      </c>
      <c r="C111" s="27" t="s">
        <v>469</v>
      </c>
      <c r="D111" s="21" t="s">
        <v>697</v>
      </c>
      <c r="E111" s="21"/>
      <c r="F111" s="21" t="s">
        <v>698</v>
      </c>
      <c r="G111" s="30"/>
      <c r="H111" s="30"/>
      <c r="I111" s="27" t="s">
        <v>699</v>
      </c>
      <c r="J111" s="27">
        <v>2</v>
      </c>
      <c r="K111" s="27"/>
      <c r="L111" s="21" t="s">
        <v>492</v>
      </c>
      <c r="M111" s="27" t="s">
        <v>72</v>
      </c>
      <c r="N111" s="27" t="s">
        <v>523</v>
      </c>
      <c r="O111" s="27" t="s">
        <v>1161</v>
      </c>
      <c r="P111" s="27"/>
      <c r="Q111" s="22" t="s">
        <v>700</v>
      </c>
    </row>
    <row r="112" spans="1:17" ht="24" hidden="1" customHeight="1">
      <c r="A112" s="19">
        <v>39</v>
      </c>
      <c r="B112" s="24" t="s">
        <v>411</v>
      </c>
      <c r="C112" s="24" t="s">
        <v>469</v>
      </c>
      <c r="D112" s="23" t="s">
        <v>701</v>
      </c>
      <c r="E112" s="23"/>
      <c r="F112" s="23" t="s">
        <v>702</v>
      </c>
      <c r="G112" s="28"/>
      <c r="H112" s="28"/>
      <c r="I112" s="24" t="s">
        <v>330</v>
      </c>
      <c r="J112" s="24">
        <v>1</v>
      </c>
      <c r="K112" s="24" t="s">
        <v>500</v>
      </c>
      <c r="L112" s="23" t="s">
        <v>492</v>
      </c>
      <c r="M112" s="24" t="s">
        <v>72</v>
      </c>
      <c r="N112" s="24" t="s">
        <v>523</v>
      </c>
      <c r="O112" s="24" t="s">
        <v>1161</v>
      </c>
      <c r="P112" s="24"/>
      <c r="Q112" s="34" t="s">
        <v>703</v>
      </c>
    </row>
    <row r="113" spans="1:17" ht="12.95" hidden="1" customHeight="1">
      <c r="A113" s="19"/>
      <c r="B113" s="24" t="s">
        <v>411</v>
      </c>
      <c r="C113" s="24" t="s">
        <v>469</v>
      </c>
      <c r="D113" s="23" t="s">
        <v>701</v>
      </c>
      <c r="E113" s="23"/>
      <c r="F113" s="23" t="s">
        <v>702</v>
      </c>
      <c r="G113" s="28"/>
      <c r="H113" s="28" t="s">
        <v>1171</v>
      </c>
      <c r="I113" s="24" t="s">
        <v>255</v>
      </c>
      <c r="J113" s="24">
        <v>1</v>
      </c>
      <c r="K113" s="24" t="s">
        <v>500</v>
      </c>
      <c r="L113" s="23" t="s">
        <v>492</v>
      </c>
      <c r="M113" s="24" t="s">
        <v>72</v>
      </c>
      <c r="N113" s="24" t="s">
        <v>523</v>
      </c>
      <c r="O113" s="24" t="s">
        <v>1161</v>
      </c>
      <c r="P113" s="24"/>
      <c r="Q113" s="34"/>
    </row>
    <row r="114" spans="1:17" ht="12.95" hidden="1" customHeight="1">
      <c r="A114" s="19"/>
      <c r="B114" s="24" t="s">
        <v>411</v>
      </c>
      <c r="C114" s="24" t="s">
        <v>469</v>
      </c>
      <c r="D114" s="23" t="s">
        <v>701</v>
      </c>
      <c r="E114" s="23"/>
      <c r="F114" s="23" t="s">
        <v>702</v>
      </c>
      <c r="G114" s="28"/>
      <c r="H114" s="28"/>
      <c r="I114" s="24" t="s">
        <v>685</v>
      </c>
      <c r="J114" s="24">
        <v>1</v>
      </c>
      <c r="K114" s="24" t="s">
        <v>500</v>
      </c>
      <c r="L114" s="23" t="s">
        <v>492</v>
      </c>
      <c r="M114" s="24" t="s">
        <v>72</v>
      </c>
      <c r="N114" s="24" t="s">
        <v>523</v>
      </c>
      <c r="O114" s="24" t="s">
        <v>1161</v>
      </c>
      <c r="P114" s="24"/>
      <c r="Q114" s="34"/>
    </row>
    <row r="115" spans="1:17" ht="12.95" hidden="1" customHeight="1">
      <c r="A115" s="19"/>
      <c r="B115" s="24" t="s">
        <v>411</v>
      </c>
      <c r="C115" s="24" t="s">
        <v>469</v>
      </c>
      <c r="D115" s="23" t="s">
        <v>701</v>
      </c>
      <c r="E115" s="23"/>
      <c r="F115" s="23" t="s">
        <v>702</v>
      </c>
      <c r="G115" s="28"/>
      <c r="H115" s="28"/>
      <c r="I115" s="24" t="s">
        <v>153</v>
      </c>
      <c r="J115" s="24">
        <v>2</v>
      </c>
      <c r="K115" s="24" t="s">
        <v>525</v>
      </c>
      <c r="L115" s="23" t="s">
        <v>492</v>
      </c>
      <c r="M115" s="24" t="s">
        <v>72</v>
      </c>
      <c r="N115" s="24" t="s">
        <v>523</v>
      </c>
      <c r="O115" s="24" t="s">
        <v>1161</v>
      </c>
      <c r="P115" s="24"/>
      <c r="Q115" s="34"/>
    </row>
    <row r="116" spans="1:17" ht="12.95" hidden="1" customHeight="1">
      <c r="A116" s="19"/>
      <c r="B116" s="24" t="s">
        <v>411</v>
      </c>
      <c r="C116" s="24" t="s">
        <v>469</v>
      </c>
      <c r="D116" s="23" t="s">
        <v>701</v>
      </c>
      <c r="E116" s="23"/>
      <c r="F116" s="23" t="s">
        <v>702</v>
      </c>
      <c r="G116" s="28"/>
      <c r="H116" s="28"/>
      <c r="I116" s="24" t="s">
        <v>704</v>
      </c>
      <c r="J116" s="24">
        <v>1</v>
      </c>
      <c r="K116" s="24" t="s">
        <v>665</v>
      </c>
      <c r="L116" s="23" t="s">
        <v>492</v>
      </c>
      <c r="M116" s="24" t="s">
        <v>72</v>
      </c>
      <c r="N116" s="24" t="s">
        <v>523</v>
      </c>
      <c r="O116" s="24" t="s">
        <v>1161</v>
      </c>
      <c r="P116" s="24"/>
      <c r="Q116" s="34"/>
    </row>
    <row r="117" spans="1:17" ht="12.95" hidden="1" customHeight="1">
      <c r="A117" s="19">
        <v>40</v>
      </c>
      <c r="B117" s="27" t="s">
        <v>412</v>
      </c>
      <c r="C117" s="27" t="s">
        <v>469</v>
      </c>
      <c r="D117" s="21" t="s">
        <v>705</v>
      </c>
      <c r="E117" s="21"/>
      <c r="F117" s="21" t="s">
        <v>706</v>
      </c>
      <c r="G117" s="30"/>
      <c r="H117" s="30" t="s">
        <v>1171</v>
      </c>
      <c r="I117" s="27" t="s">
        <v>255</v>
      </c>
      <c r="J117" s="27">
        <v>1</v>
      </c>
      <c r="K117" s="27" t="s">
        <v>479</v>
      </c>
      <c r="L117" s="21" t="s">
        <v>492</v>
      </c>
      <c r="M117" s="27" t="s">
        <v>72</v>
      </c>
      <c r="N117" s="27" t="s">
        <v>53</v>
      </c>
      <c r="O117" s="27" t="s">
        <v>477</v>
      </c>
      <c r="P117" s="27"/>
      <c r="Q117" s="35" t="s">
        <v>707</v>
      </c>
    </row>
    <row r="118" spans="1:17" ht="12.95" hidden="1" customHeight="1">
      <c r="A118" s="19"/>
      <c r="B118" s="27" t="s">
        <v>412</v>
      </c>
      <c r="C118" s="27" t="s">
        <v>469</v>
      </c>
      <c r="D118" s="21" t="s">
        <v>705</v>
      </c>
      <c r="E118" s="21"/>
      <c r="F118" s="21" t="s">
        <v>706</v>
      </c>
      <c r="G118" s="30"/>
      <c r="H118" s="30"/>
      <c r="I118" s="27" t="s">
        <v>708</v>
      </c>
      <c r="J118" s="27">
        <v>1</v>
      </c>
      <c r="K118" s="27" t="s">
        <v>479</v>
      </c>
      <c r="L118" s="21" t="s">
        <v>492</v>
      </c>
      <c r="M118" s="27" t="s">
        <v>72</v>
      </c>
      <c r="N118" s="27" t="s">
        <v>53</v>
      </c>
      <c r="O118" s="27" t="s">
        <v>477</v>
      </c>
      <c r="P118" s="27"/>
      <c r="Q118" s="35"/>
    </row>
    <row r="119" spans="1:17" ht="12.95" hidden="1" customHeight="1">
      <c r="A119" s="19"/>
      <c r="B119" s="27" t="s">
        <v>412</v>
      </c>
      <c r="C119" s="27" t="s">
        <v>469</v>
      </c>
      <c r="D119" s="21" t="s">
        <v>705</v>
      </c>
      <c r="E119" s="21"/>
      <c r="F119" s="21" t="s">
        <v>706</v>
      </c>
      <c r="G119" s="30"/>
      <c r="H119" s="30"/>
      <c r="I119" s="27" t="s">
        <v>153</v>
      </c>
      <c r="J119" s="27">
        <v>1</v>
      </c>
      <c r="K119" s="27" t="s">
        <v>479</v>
      </c>
      <c r="L119" s="21" t="s">
        <v>492</v>
      </c>
      <c r="M119" s="27" t="s">
        <v>72</v>
      </c>
      <c r="N119" s="27" t="s">
        <v>53</v>
      </c>
      <c r="O119" s="27" t="s">
        <v>477</v>
      </c>
      <c r="P119" s="27"/>
      <c r="Q119" s="35"/>
    </row>
    <row r="120" spans="1:17" ht="24.75" hidden="1" customHeight="1">
      <c r="A120" s="19">
        <v>41</v>
      </c>
      <c r="B120" s="24" t="s">
        <v>413</v>
      </c>
      <c r="C120" s="24" t="s">
        <v>469</v>
      </c>
      <c r="D120" s="24" t="s">
        <v>709</v>
      </c>
      <c r="E120" s="24"/>
      <c r="F120" s="24" t="s">
        <v>710</v>
      </c>
      <c r="G120" s="25"/>
      <c r="H120" s="25"/>
      <c r="I120" s="24" t="s">
        <v>685</v>
      </c>
      <c r="J120" s="24">
        <v>1</v>
      </c>
      <c r="K120" s="24"/>
      <c r="L120" s="23" t="s">
        <v>492</v>
      </c>
      <c r="M120" s="24" t="s">
        <v>72</v>
      </c>
      <c r="N120" s="24" t="s">
        <v>523</v>
      </c>
      <c r="O120" s="24" t="s">
        <v>1161</v>
      </c>
      <c r="P120" s="24"/>
      <c r="Q120" s="26" t="s">
        <v>711</v>
      </c>
    </row>
    <row r="121" spans="1:17" ht="24.75" hidden="1" customHeight="1">
      <c r="A121" s="19">
        <v>42</v>
      </c>
      <c r="B121" s="27" t="s">
        <v>414</v>
      </c>
      <c r="C121" s="27" t="s">
        <v>469</v>
      </c>
      <c r="D121" s="27"/>
      <c r="E121" s="27"/>
      <c r="F121" s="27" t="s">
        <v>712</v>
      </c>
      <c r="G121" s="20"/>
      <c r="H121" s="20"/>
      <c r="I121" s="27" t="s">
        <v>685</v>
      </c>
      <c r="J121" s="27">
        <v>1</v>
      </c>
      <c r="K121" s="27"/>
      <c r="L121" s="21" t="s">
        <v>492</v>
      </c>
      <c r="M121" s="27" t="s">
        <v>72</v>
      </c>
      <c r="N121" s="27" t="s">
        <v>523</v>
      </c>
      <c r="O121" s="27" t="s">
        <v>1161</v>
      </c>
      <c r="P121" s="27"/>
      <c r="Q121" s="22" t="s">
        <v>713</v>
      </c>
    </row>
    <row r="122" spans="1:17" ht="22.5" hidden="1">
      <c r="A122" s="19">
        <v>43</v>
      </c>
      <c r="B122" s="24" t="s">
        <v>415</v>
      </c>
      <c r="C122" s="24" t="s">
        <v>469</v>
      </c>
      <c r="D122" s="24" t="s">
        <v>714</v>
      </c>
      <c r="E122" s="24"/>
      <c r="F122" s="24" t="s">
        <v>715</v>
      </c>
      <c r="G122" s="25"/>
      <c r="H122" s="25"/>
      <c r="I122" s="24" t="s">
        <v>685</v>
      </c>
      <c r="J122" s="24">
        <v>1</v>
      </c>
      <c r="K122" s="24"/>
      <c r="L122" s="23" t="s">
        <v>492</v>
      </c>
      <c r="M122" s="24" t="s">
        <v>72</v>
      </c>
      <c r="N122" s="24" t="s">
        <v>523</v>
      </c>
      <c r="O122" s="24" t="s">
        <v>1161</v>
      </c>
      <c r="P122" s="24"/>
      <c r="Q122" s="26" t="s">
        <v>716</v>
      </c>
    </row>
    <row r="123" spans="1:17" ht="24.75" hidden="1" customHeight="1">
      <c r="A123" s="19">
        <v>44</v>
      </c>
      <c r="B123" s="21" t="s">
        <v>416</v>
      </c>
      <c r="C123" s="21" t="s">
        <v>469</v>
      </c>
      <c r="D123" s="21" t="s">
        <v>717</v>
      </c>
      <c r="E123" s="21" t="s">
        <v>718</v>
      </c>
      <c r="F123" s="21" t="s">
        <v>719</v>
      </c>
      <c r="G123" s="30"/>
      <c r="H123" s="30"/>
      <c r="I123" s="27" t="s">
        <v>720</v>
      </c>
      <c r="J123" s="27">
        <v>1</v>
      </c>
      <c r="K123" s="27"/>
      <c r="L123" s="27" t="s">
        <v>530</v>
      </c>
      <c r="M123" s="27" t="s">
        <v>72</v>
      </c>
      <c r="N123" s="27" t="s">
        <v>523</v>
      </c>
      <c r="O123" s="27" t="s">
        <v>1161</v>
      </c>
      <c r="P123" s="27"/>
      <c r="Q123" s="22" t="s">
        <v>721</v>
      </c>
    </row>
    <row r="124" spans="1:17" ht="24" hidden="1" customHeight="1">
      <c r="A124" s="19">
        <v>45</v>
      </c>
      <c r="B124" s="24" t="s">
        <v>417</v>
      </c>
      <c r="C124" s="24" t="s">
        <v>469</v>
      </c>
      <c r="D124" s="24" t="s">
        <v>722</v>
      </c>
      <c r="E124" s="24"/>
      <c r="F124" s="24" t="s">
        <v>723</v>
      </c>
      <c r="G124" s="25"/>
      <c r="H124" s="25" t="s">
        <v>1171</v>
      </c>
      <c r="I124" s="24" t="s">
        <v>255</v>
      </c>
      <c r="J124" s="24">
        <v>1</v>
      </c>
      <c r="K124" s="24"/>
      <c r="L124" s="23" t="s">
        <v>492</v>
      </c>
      <c r="M124" s="24" t="s">
        <v>72</v>
      </c>
      <c r="N124" s="24" t="s">
        <v>523</v>
      </c>
      <c r="O124" s="24" t="s">
        <v>1161</v>
      </c>
      <c r="P124" s="24"/>
      <c r="Q124" s="34" t="s">
        <v>724</v>
      </c>
    </row>
    <row r="125" spans="1:17" ht="12.95" hidden="1" customHeight="1">
      <c r="A125" s="19"/>
      <c r="B125" s="24" t="s">
        <v>417</v>
      </c>
      <c r="C125" s="24" t="s">
        <v>469</v>
      </c>
      <c r="D125" s="24" t="s">
        <v>722</v>
      </c>
      <c r="E125" s="24"/>
      <c r="F125" s="24" t="s">
        <v>723</v>
      </c>
      <c r="G125" s="25"/>
      <c r="H125" s="25"/>
      <c r="I125" s="24" t="s">
        <v>153</v>
      </c>
      <c r="J125" s="24">
        <v>1</v>
      </c>
      <c r="K125" s="24"/>
      <c r="L125" s="23" t="s">
        <v>492</v>
      </c>
      <c r="M125" s="24" t="s">
        <v>72</v>
      </c>
      <c r="N125" s="24" t="s">
        <v>523</v>
      </c>
      <c r="O125" s="24" t="s">
        <v>1161</v>
      </c>
      <c r="P125" s="24"/>
      <c r="Q125" s="34"/>
    </row>
    <row r="126" spans="1:17" ht="12.95" hidden="1" customHeight="1">
      <c r="A126" s="19"/>
      <c r="B126" s="24" t="s">
        <v>417</v>
      </c>
      <c r="C126" s="24" t="s">
        <v>469</v>
      </c>
      <c r="D126" s="24" t="s">
        <v>722</v>
      </c>
      <c r="E126" s="24"/>
      <c r="F126" s="24" t="s">
        <v>723</v>
      </c>
      <c r="G126" s="25"/>
      <c r="H126" s="25"/>
      <c r="I126" s="24" t="s">
        <v>320</v>
      </c>
      <c r="J126" s="24">
        <v>1</v>
      </c>
      <c r="K126" s="24"/>
      <c r="L126" s="23" t="s">
        <v>492</v>
      </c>
      <c r="M126" s="24" t="s">
        <v>72</v>
      </c>
      <c r="N126" s="24" t="s">
        <v>523</v>
      </c>
      <c r="O126" s="24" t="s">
        <v>1161</v>
      </c>
      <c r="P126" s="24"/>
      <c r="Q126" s="34"/>
    </row>
    <row r="127" spans="1:17" ht="24.75" hidden="1" customHeight="1">
      <c r="A127" s="19">
        <v>46</v>
      </c>
      <c r="B127" s="27" t="s">
        <v>418</v>
      </c>
      <c r="C127" s="27" t="s">
        <v>469</v>
      </c>
      <c r="D127" s="27" t="s">
        <v>725</v>
      </c>
      <c r="E127" s="27"/>
      <c r="F127" s="27" t="s">
        <v>726</v>
      </c>
      <c r="G127" s="20"/>
      <c r="H127" s="20"/>
      <c r="I127" s="27" t="s">
        <v>699</v>
      </c>
      <c r="J127" s="27">
        <v>1</v>
      </c>
      <c r="K127" s="27"/>
      <c r="L127" s="21" t="s">
        <v>492</v>
      </c>
      <c r="M127" s="27" t="s">
        <v>72</v>
      </c>
      <c r="N127" s="27" t="s">
        <v>523</v>
      </c>
      <c r="O127" s="27" t="s">
        <v>1161</v>
      </c>
      <c r="P127" s="27"/>
      <c r="Q127" s="22" t="s">
        <v>727</v>
      </c>
    </row>
    <row r="128" spans="1:17" ht="21.95" hidden="1" customHeight="1">
      <c r="A128" s="19">
        <v>47</v>
      </c>
      <c r="B128" s="24" t="s">
        <v>419</v>
      </c>
      <c r="C128" s="24" t="s">
        <v>469</v>
      </c>
      <c r="D128" s="24" t="s">
        <v>728</v>
      </c>
      <c r="E128" s="24"/>
      <c r="F128" s="24" t="s">
        <v>729</v>
      </c>
      <c r="G128" s="25"/>
      <c r="H128" s="25"/>
      <c r="I128" s="24" t="s">
        <v>153</v>
      </c>
      <c r="J128" s="24">
        <v>1</v>
      </c>
      <c r="K128" s="24" t="s">
        <v>500</v>
      </c>
      <c r="L128" s="23" t="s">
        <v>492</v>
      </c>
      <c r="M128" s="24" t="s">
        <v>72</v>
      </c>
      <c r="N128" s="24" t="s">
        <v>53</v>
      </c>
      <c r="O128" s="24" t="s">
        <v>477</v>
      </c>
      <c r="P128" s="24"/>
      <c r="Q128" s="34" t="s">
        <v>730</v>
      </c>
    </row>
    <row r="129" spans="1:17" ht="12.95" hidden="1" customHeight="1">
      <c r="A129" s="19"/>
      <c r="B129" s="24" t="s">
        <v>419</v>
      </c>
      <c r="C129" s="24" t="s">
        <v>469</v>
      </c>
      <c r="D129" s="24" t="s">
        <v>728</v>
      </c>
      <c r="E129" s="24"/>
      <c r="F129" s="24" t="s">
        <v>729</v>
      </c>
      <c r="G129" s="25"/>
      <c r="H129" s="25"/>
      <c r="I129" s="24" t="s">
        <v>731</v>
      </c>
      <c r="J129" s="24">
        <v>1</v>
      </c>
      <c r="K129" s="24" t="s">
        <v>500</v>
      </c>
      <c r="L129" s="23" t="s">
        <v>492</v>
      </c>
      <c r="M129" s="24" t="s">
        <v>72</v>
      </c>
      <c r="N129" s="24" t="s">
        <v>53</v>
      </c>
      <c r="O129" s="24" t="s">
        <v>477</v>
      </c>
      <c r="P129" s="24"/>
      <c r="Q129" s="34"/>
    </row>
    <row r="130" spans="1:17" ht="12.95" hidden="1" customHeight="1">
      <c r="A130" s="19"/>
      <c r="B130" s="24" t="s">
        <v>419</v>
      </c>
      <c r="C130" s="24" t="s">
        <v>469</v>
      </c>
      <c r="D130" s="24" t="s">
        <v>728</v>
      </c>
      <c r="E130" s="24"/>
      <c r="F130" s="24" t="s">
        <v>729</v>
      </c>
      <c r="G130" s="25"/>
      <c r="H130" s="25"/>
      <c r="I130" s="24" t="s">
        <v>685</v>
      </c>
      <c r="J130" s="24">
        <v>1</v>
      </c>
      <c r="K130" s="24" t="s">
        <v>500</v>
      </c>
      <c r="L130" s="23" t="s">
        <v>492</v>
      </c>
      <c r="M130" s="24" t="s">
        <v>72</v>
      </c>
      <c r="N130" s="24" t="s">
        <v>53</v>
      </c>
      <c r="O130" s="24" t="s">
        <v>477</v>
      </c>
      <c r="P130" s="24"/>
      <c r="Q130" s="34"/>
    </row>
    <row r="131" spans="1:17" ht="24.75" hidden="1" customHeight="1">
      <c r="A131" s="19">
        <v>48</v>
      </c>
      <c r="B131" s="27" t="s">
        <v>420</v>
      </c>
      <c r="C131" s="27" t="s">
        <v>469</v>
      </c>
      <c r="D131" s="27" t="s">
        <v>732</v>
      </c>
      <c r="E131" s="27"/>
      <c r="F131" s="27" t="s">
        <v>733</v>
      </c>
      <c r="G131" s="20"/>
      <c r="H131" s="20"/>
      <c r="I131" s="27" t="s">
        <v>252</v>
      </c>
      <c r="J131" s="27">
        <v>1</v>
      </c>
      <c r="K131" s="27" t="s">
        <v>735</v>
      </c>
      <c r="L131" s="21" t="s">
        <v>492</v>
      </c>
      <c r="M131" s="27" t="s">
        <v>72</v>
      </c>
      <c r="N131" s="27" t="s">
        <v>523</v>
      </c>
      <c r="O131" s="27" t="s">
        <v>1161</v>
      </c>
      <c r="P131" s="27"/>
      <c r="Q131" s="35" t="s">
        <v>736</v>
      </c>
    </row>
    <row r="132" spans="1:17" ht="24.75" hidden="1" customHeight="1">
      <c r="A132" s="19"/>
      <c r="B132" s="27" t="s">
        <v>420</v>
      </c>
      <c r="C132" s="27" t="s">
        <v>469</v>
      </c>
      <c r="D132" s="27" t="s">
        <v>732</v>
      </c>
      <c r="E132" s="27"/>
      <c r="F132" s="27" t="s">
        <v>733</v>
      </c>
      <c r="G132" s="20"/>
      <c r="H132" s="20" t="s">
        <v>1171</v>
      </c>
      <c r="I132" s="27" t="s">
        <v>255</v>
      </c>
      <c r="J132" s="27">
        <v>2</v>
      </c>
      <c r="K132" s="27" t="s">
        <v>500</v>
      </c>
      <c r="L132" s="21" t="s">
        <v>546</v>
      </c>
      <c r="M132" s="27" t="s">
        <v>72</v>
      </c>
      <c r="N132" s="27" t="s">
        <v>523</v>
      </c>
      <c r="O132" s="27" t="s">
        <v>1161</v>
      </c>
      <c r="P132" s="27"/>
      <c r="Q132" s="35"/>
    </row>
    <row r="133" spans="1:17" ht="24.75" hidden="1" customHeight="1">
      <c r="A133" s="19"/>
      <c r="B133" s="27" t="s">
        <v>420</v>
      </c>
      <c r="C133" s="27" t="s">
        <v>469</v>
      </c>
      <c r="D133" s="27" t="s">
        <v>732</v>
      </c>
      <c r="E133" s="27"/>
      <c r="F133" s="27" t="s">
        <v>733</v>
      </c>
      <c r="G133" s="20"/>
      <c r="H133" s="20"/>
      <c r="I133" s="27" t="s">
        <v>737</v>
      </c>
      <c r="J133" s="27">
        <v>1</v>
      </c>
      <c r="K133" s="27" t="s">
        <v>500</v>
      </c>
      <c r="L133" s="21" t="s">
        <v>546</v>
      </c>
      <c r="M133" s="27" t="s">
        <v>72</v>
      </c>
      <c r="N133" s="27" t="s">
        <v>523</v>
      </c>
      <c r="O133" s="27" t="s">
        <v>1161</v>
      </c>
      <c r="P133" s="27"/>
      <c r="Q133" s="35"/>
    </row>
    <row r="134" spans="1:17" ht="24.75" hidden="1" customHeight="1">
      <c r="A134" s="19"/>
      <c r="B134" s="27" t="s">
        <v>420</v>
      </c>
      <c r="C134" s="27" t="s">
        <v>469</v>
      </c>
      <c r="D134" s="27" t="s">
        <v>732</v>
      </c>
      <c r="E134" s="27"/>
      <c r="F134" s="27" t="s">
        <v>733</v>
      </c>
      <c r="G134" s="20"/>
      <c r="H134" s="20"/>
      <c r="I134" s="27" t="s">
        <v>320</v>
      </c>
      <c r="J134" s="27">
        <v>1</v>
      </c>
      <c r="K134" s="27" t="s">
        <v>500</v>
      </c>
      <c r="L134" s="21" t="s">
        <v>505</v>
      </c>
      <c r="M134" s="27" t="s">
        <v>72</v>
      </c>
      <c r="N134" s="27" t="s">
        <v>523</v>
      </c>
      <c r="O134" s="27" t="s">
        <v>1161</v>
      </c>
      <c r="P134" s="27"/>
      <c r="Q134" s="35"/>
    </row>
    <row r="135" spans="1:17" ht="24.75" hidden="1" customHeight="1">
      <c r="A135" s="19">
        <v>49</v>
      </c>
      <c r="B135" s="24" t="s">
        <v>421</v>
      </c>
      <c r="C135" s="24" t="s">
        <v>469</v>
      </c>
      <c r="D135" s="24" t="s">
        <v>738</v>
      </c>
      <c r="E135" s="24"/>
      <c r="F135" s="24" t="s">
        <v>739</v>
      </c>
      <c r="G135" s="25"/>
      <c r="H135" s="25" t="s">
        <v>1171</v>
      </c>
      <c r="I135" s="24" t="s">
        <v>255</v>
      </c>
      <c r="J135" s="24">
        <v>1</v>
      </c>
      <c r="K135" s="24" t="s">
        <v>500</v>
      </c>
      <c r="L135" s="23" t="s">
        <v>492</v>
      </c>
      <c r="M135" s="24" t="s">
        <v>72</v>
      </c>
      <c r="N135" s="24" t="s">
        <v>53</v>
      </c>
      <c r="O135" s="24" t="s">
        <v>477</v>
      </c>
      <c r="P135" s="24"/>
      <c r="Q135" s="34" t="s">
        <v>740</v>
      </c>
    </row>
    <row r="136" spans="1:17" ht="24.75" hidden="1" customHeight="1">
      <c r="A136" s="19"/>
      <c r="B136" s="24" t="s">
        <v>421</v>
      </c>
      <c r="C136" s="24" t="s">
        <v>469</v>
      </c>
      <c r="D136" s="24" t="s">
        <v>738</v>
      </c>
      <c r="E136" s="24"/>
      <c r="F136" s="24" t="s">
        <v>739</v>
      </c>
      <c r="G136" s="25"/>
      <c r="H136" s="25"/>
      <c r="I136" s="24" t="s">
        <v>330</v>
      </c>
      <c r="J136" s="24">
        <v>1</v>
      </c>
      <c r="K136" s="24" t="s">
        <v>500</v>
      </c>
      <c r="L136" s="23" t="s">
        <v>492</v>
      </c>
      <c r="M136" s="24" t="s">
        <v>72</v>
      </c>
      <c r="N136" s="24" t="s">
        <v>53</v>
      </c>
      <c r="O136" s="24" t="s">
        <v>477</v>
      </c>
      <c r="P136" s="24"/>
      <c r="Q136" s="34"/>
    </row>
    <row r="137" spans="1:17" ht="24.75" hidden="1" customHeight="1">
      <c r="A137" s="19">
        <v>50</v>
      </c>
      <c r="B137" s="27" t="s">
        <v>422</v>
      </c>
      <c r="C137" s="27" t="s">
        <v>469</v>
      </c>
      <c r="D137" s="27" t="s">
        <v>741</v>
      </c>
      <c r="E137" s="27"/>
      <c r="F137" s="27" t="s">
        <v>742</v>
      </c>
      <c r="G137" s="20"/>
      <c r="H137" s="20"/>
      <c r="I137" s="27" t="s">
        <v>330</v>
      </c>
      <c r="J137" s="27">
        <v>1</v>
      </c>
      <c r="K137" s="27" t="s">
        <v>479</v>
      </c>
      <c r="L137" s="21" t="s">
        <v>492</v>
      </c>
      <c r="M137" s="27" t="s">
        <v>72</v>
      </c>
      <c r="N137" s="27" t="s">
        <v>53</v>
      </c>
      <c r="O137" s="27" t="s">
        <v>477</v>
      </c>
      <c r="P137" s="27"/>
      <c r="Q137" s="35" t="s">
        <v>743</v>
      </c>
    </row>
    <row r="138" spans="1:17" ht="24.75" hidden="1" customHeight="1">
      <c r="A138" s="19"/>
      <c r="B138" s="27" t="s">
        <v>422</v>
      </c>
      <c r="C138" s="27" t="s">
        <v>469</v>
      </c>
      <c r="D138" s="27" t="s">
        <v>741</v>
      </c>
      <c r="E138" s="27"/>
      <c r="F138" s="27" t="s">
        <v>742</v>
      </c>
      <c r="G138" s="20"/>
      <c r="H138" s="20" t="s">
        <v>1171</v>
      </c>
      <c r="I138" s="27" t="s">
        <v>255</v>
      </c>
      <c r="J138" s="27">
        <v>1</v>
      </c>
      <c r="K138" s="27" t="s">
        <v>479</v>
      </c>
      <c r="L138" s="21" t="s">
        <v>492</v>
      </c>
      <c r="M138" s="27" t="s">
        <v>72</v>
      </c>
      <c r="N138" s="27" t="s">
        <v>53</v>
      </c>
      <c r="O138" s="27" t="s">
        <v>477</v>
      </c>
      <c r="P138" s="27"/>
      <c r="Q138" s="35" t="s">
        <v>744</v>
      </c>
    </row>
    <row r="139" spans="1:17" ht="20.25" hidden="1" customHeight="1">
      <c r="A139" s="19">
        <v>51</v>
      </c>
      <c r="B139" s="24" t="s">
        <v>423</v>
      </c>
      <c r="C139" s="24" t="s">
        <v>469</v>
      </c>
      <c r="D139" s="24" t="s">
        <v>882</v>
      </c>
      <c r="E139" s="24" t="s">
        <v>746</v>
      </c>
      <c r="F139" s="24"/>
      <c r="G139" s="25"/>
      <c r="H139" s="25" t="s">
        <v>1152</v>
      </c>
      <c r="I139" s="24" t="s">
        <v>748</v>
      </c>
      <c r="J139" s="24">
        <v>1</v>
      </c>
      <c r="K139" s="24" t="s">
        <v>479</v>
      </c>
      <c r="L139" s="23" t="s">
        <v>662</v>
      </c>
      <c r="M139" s="24" t="s">
        <v>72</v>
      </c>
      <c r="N139" s="24" t="s">
        <v>523</v>
      </c>
      <c r="O139" s="24" t="s">
        <v>1161</v>
      </c>
      <c r="P139" s="24"/>
      <c r="Q139" s="34"/>
    </row>
    <row r="140" spans="1:17" ht="20.25" hidden="1" customHeight="1">
      <c r="A140" s="19"/>
      <c r="B140" s="24" t="s">
        <v>423</v>
      </c>
      <c r="C140" s="24" t="s">
        <v>469</v>
      </c>
      <c r="D140" s="24" t="s">
        <v>882</v>
      </c>
      <c r="E140" s="24" t="s">
        <v>746</v>
      </c>
      <c r="F140" s="24"/>
      <c r="G140" s="25"/>
      <c r="H140" s="25" t="s">
        <v>1152</v>
      </c>
      <c r="I140" s="24" t="s">
        <v>598</v>
      </c>
      <c r="J140" s="24">
        <v>1</v>
      </c>
      <c r="K140" s="24" t="s">
        <v>500</v>
      </c>
      <c r="L140" s="23" t="s">
        <v>662</v>
      </c>
      <c r="M140" s="24" t="s">
        <v>72</v>
      </c>
      <c r="N140" s="24" t="s">
        <v>523</v>
      </c>
      <c r="O140" s="24" t="s">
        <v>1161</v>
      </c>
      <c r="P140" s="24"/>
      <c r="Q140" s="34"/>
    </row>
    <row r="141" spans="1:17" ht="20.25" hidden="1" customHeight="1">
      <c r="A141" s="19">
        <v>52</v>
      </c>
      <c r="B141" s="27" t="s">
        <v>424</v>
      </c>
      <c r="C141" s="27" t="s">
        <v>469</v>
      </c>
      <c r="D141" s="27" t="s">
        <v>749</v>
      </c>
      <c r="E141" s="21" t="s">
        <v>750</v>
      </c>
      <c r="F141" s="21" t="s">
        <v>751</v>
      </c>
      <c r="G141" s="30"/>
      <c r="H141" s="30"/>
      <c r="I141" s="27" t="s">
        <v>752</v>
      </c>
      <c r="J141" s="27">
        <v>1</v>
      </c>
      <c r="K141" s="27"/>
      <c r="L141" s="21" t="s">
        <v>662</v>
      </c>
      <c r="M141" s="27" t="s">
        <v>72</v>
      </c>
      <c r="N141" s="27" t="s">
        <v>523</v>
      </c>
      <c r="O141" s="27" t="s">
        <v>1161</v>
      </c>
      <c r="P141" s="27"/>
      <c r="Q141" s="35" t="s">
        <v>753</v>
      </c>
    </row>
    <row r="142" spans="1:17" ht="20.25" hidden="1" customHeight="1">
      <c r="A142" s="19"/>
      <c r="B142" s="27" t="s">
        <v>424</v>
      </c>
      <c r="C142" s="27" t="s">
        <v>469</v>
      </c>
      <c r="D142" s="27" t="s">
        <v>749</v>
      </c>
      <c r="E142" s="21" t="s">
        <v>750</v>
      </c>
      <c r="F142" s="21" t="s">
        <v>751</v>
      </c>
      <c r="G142" s="30"/>
      <c r="H142" s="30"/>
      <c r="I142" s="27" t="s">
        <v>561</v>
      </c>
      <c r="J142" s="27">
        <v>1</v>
      </c>
      <c r="K142" s="27"/>
      <c r="L142" s="21" t="s">
        <v>662</v>
      </c>
      <c r="M142" s="27" t="s">
        <v>72</v>
      </c>
      <c r="N142" s="27" t="s">
        <v>523</v>
      </c>
      <c r="O142" s="27" t="s">
        <v>1161</v>
      </c>
      <c r="P142" s="27"/>
      <c r="Q142" s="36"/>
    </row>
    <row r="143" spans="1:17" ht="42" hidden="1" customHeight="1">
      <c r="A143" s="19">
        <v>53</v>
      </c>
      <c r="B143" s="24" t="s">
        <v>425</v>
      </c>
      <c r="C143" s="24" t="s">
        <v>469</v>
      </c>
      <c r="D143" s="24" t="s">
        <v>754</v>
      </c>
      <c r="E143" s="24" t="s">
        <v>755</v>
      </c>
      <c r="F143" s="24"/>
      <c r="G143" s="25"/>
      <c r="H143" s="25"/>
      <c r="I143" s="24" t="s">
        <v>178</v>
      </c>
      <c r="J143" s="24">
        <v>4</v>
      </c>
      <c r="K143" s="24" t="s">
        <v>479</v>
      </c>
      <c r="L143" s="23" t="s">
        <v>511</v>
      </c>
      <c r="M143" s="24" t="s">
        <v>72</v>
      </c>
      <c r="N143" s="24" t="s">
        <v>523</v>
      </c>
      <c r="O143" s="24" t="s">
        <v>1161</v>
      </c>
      <c r="P143" s="24"/>
      <c r="Q143" s="37"/>
    </row>
    <row r="144" spans="1:17" ht="42" hidden="1" customHeight="1">
      <c r="A144" s="19"/>
      <c r="B144" s="24" t="s">
        <v>425</v>
      </c>
      <c r="C144" s="24" t="s">
        <v>469</v>
      </c>
      <c r="D144" s="24" t="s">
        <v>754</v>
      </c>
      <c r="E144" s="24" t="s">
        <v>755</v>
      </c>
      <c r="F144" s="24"/>
      <c r="G144" s="25"/>
      <c r="H144" s="25" t="s">
        <v>1171</v>
      </c>
      <c r="I144" s="24" t="s">
        <v>255</v>
      </c>
      <c r="J144" s="24">
        <v>2</v>
      </c>
      <c r="K144" s="24" t="s">
        <v>490</v>
      </c>
      <c r="L144" s="23" t="s">
        <v>511</v>
      </c>
      <c r="M144" s="24" t="s">
        <v>72</v>
      </c>
      <c r="N144" s="24" t="s">
        <v>523</v>
      </c>
      <c r="O144" s="24" t="s">
        <v>1161</v>
      </c>
      <c r="P144" s="24"/>
      <c r="Q144" s="37"/>
    </row>
    <row r="145" spans="1:17" ht="12" hidden="1" customHeight="1">
      <c r="A145" s="19">
        <v>54</v>
      </c>
      <c r="B145" s="21" t="s">
        <v>426</v>
      </c>
      <c r="C145" s="21" t="s">
        <v>469</v>
      </c>
      <c r="D145" s="27" t="s">
        <v>756</v>
      </c>
      <c r="E145" s="27" t="s">
        <v>757</v>
      </c>
      <c r="F145" s="27"/>
      <c r="G145" s="20"/>
      <c r="H145" s="20"/>
      <c r="I145" s="27" t="s">
        <v>81</v>
      </c>
      <c r="J145" s="27">
        <v>1</v>
      </c>
      <c r="K145" s="27"/>
      <c r="L145" s="21" t="s">
        <v>505</v>
      </c>
      <c r="M145" s="27" t="s">
        <v>72</v>
      </c>
      <c r="N145" s="27" t="s">
        <v>523</v>
      </c>
      <c r="O145" s="27" t="s">
        <v>1161</v>
      </c>
      <c r="P145" s="27"/>
      <c r="Q145" s="35" t="s">
        <v>758</v>
      </c>
    </row>
    <row r="146" spans="1:17" ht="12" hidden="1" customHeight="1">
      <c r="A146" s="19"/>
      <c r="B146" s="21" t="s">
        <v>426</v>
      </c>
      <c r="C146" s="21" t="s">
        <v>469</v>
      </c>
      <c r="D146" s="27" t="s">
        <v>756</v>
      </c>
      <c r="E146" s="27" t="s">
        <v>757</v>
      </c>
      <c r="F146" s="27"/>
      <c r="G146" s="20"/>
      <c r="H146" s="20" t="s">
        <v>1167</v>
      </c>
      <c r="I146" s="27" t="s">
        <v>557</v>
      </c>
      <c r="J146" s="27">
        <v>1</v>
      </c>
      <c r="K146" s="27"/>
      <c r="L146" s="21" t="s">
        <v>484</v>
      </c>
      <c r="M146" s="27" t="s">
        <v>72</v>
      </c>
      <c r="N146" s="27" t="s">
        <v>523</v>
      </c>
      <c r="O146" s="27" t="s">
        <v>1161</v>
      </c>
      <c r="P146" s="27"/>
      <c r="Q146" s="35"/>
    </row>
    <row r="147" spans="1:17" ht="12" hidden="1" customHeight="1">
      <c r="A147" s="19"/>
      <c r="B147" s="21" t="s">
        <v>426</v>
      </c>
      <c r="C147" s="21" t="s">
        <v>469</v>
      </c>
      <c r="D147" s="27" t="s">
        <v>756</v>
      </c>
      <c r="E147" s="27" t="s">
        <v>757</v>
      </c>
      <c r="F147" s="27"/>
      <c r="G147" s="20"/>
      <c r="H147" s="20"/>
      <c r="I147" s="27" t="s">
        <v>20</v>
      </c>
      <c r="J147" s="27">
        <v>1</v>
      </c>
      <c r="K147" s="27"/>
      <c r="L147" s="21" t="s">
        <v>492</v>
      </c>
      <c r="M147" s="27" t="s">
        <v>72</v>
      </c>
      <c r="N147" s="27" t="s">
        <v>523</v>
      </c>
      <c r="O147" s="27" t="s">
        <v>1161</v>
      </c>
      <c r="P147" s="27"/>
      <c r="Q147" s="35"/>
    </row>
    <row r="148" spans="1:17" ht="12.95" hidden="1" customHeight="1">
      <c r="A148" s="19">
        <v>55</v>
      </c>
      <c r="B148" s="23" t="s">
        <v>427</v>
      </c>
      <c r="C148" s="23" t="s">
        <v>469</v>
      </c>
      <c r="D148" s="23" t="s">
        <v>759</v>
      </c>
      <c r="E148" s="23" t="s">
        <v>760</v>
      </c>
      <c r="F148" s="23"/>
      <c r="G148" s="28"/>
      <c r="H148" s="28" t="s">
        <v>1171</v>
      </c>
      <c r="I148" s="24" t="s">
        <v>681</v>
      </c>
      <c r="J148" s="24">
        <v>1</v>
      </c>
      <c r="K148" s="24" t="s">
        <v>479</v>
      </c>
      <c r="L148" s="23" t="s">
        <v>560</v>
      </c>
      <c r="M148" s="24" t="s">
        <v>72</v>
      </c>
      <c r="N148" s="24" t="s">
        <v>523</v>
      </c>
      <c r="O148" s="24" t="s">
        <v>1161</v>
      </c>
      <c r="P148" s="24"/>
      <c r="Q148" s="34"/>
    </row>
    <row r="149" spans="1:17" ht="12.95" hidden="1" customHeight="1">
      <c r="A149" s="19"/>
      <c r="B149" s="23" t="s">
        <v>427</v>
      </c>
      <c r="C149" s="23" t="s">
        <v>469</v>
      </c>
      <c r="D149" s="23" t="s">
        <v>759</v>
      </c>
      <c r="E149" s="23" t="s">
        <v>760</v>
      </c>
      <c r="F149" s="23"/>
      <c r="G149" s="28"/>
      <c r="H149" s="28" t="s">
        <v>1185</v>
      </c>
      <c r="I149" s="24" t="s">
        <v>637</v>
      </c>
      <c r="J149" s="24">
        <v>1</v>
      </c>
      <c r="K149" s="24" t="s">
        <v>479</v>
      </c>
      <c r="L149" s="23" t="s">
        <v>560</v>
      </c>
      <c r="M149" s="24" t="s">
        <v>72</v>
      </c>
      <c r="N149" s="24" t="s">
        <v>523</v>
      </c>
      <c r="O149" s="24" t="s">
        <v>1161</v>
      </c>
      <c r="P149" s="24"/>
      <c r="Q149" s="34"/>
    </row>
    <row r="150" spans="1:17" ht="12.95" hidden="1" customHeight="1">
      <c r="A150" s="19"/>
      <c r="B150" s="23" t="s">
        <v>427</v>
      </c>
      <c r="C150" s="23" t="s">
        <v>469</v>
      </c>
      <c r="D150" s="23" t="s">
        <v>759</v>
      </c>
      <c r="E150" s="23" t="s">
        <v>760</v>
      </c>
      <c r="F150" s="23"/>
      <c r="G150" s="28"/>
      <c r="H150" s="28" t="s">
        <v>1167</v>
      </c>
      <c r="I150" s="24" t="s">
        <v>557</v>
      </c>
      <c r="J150" s="24">
        <v>1</v>
      </c>
      <c r="K150" s="24" t="s">
        <v>479</v>
      </c>
      <c r="L150" s="23" t="s">
        <v>560</v>
      </c>
      <c r="M150" s="24" t="s">
        <v>72</v>
      </c>
      <c r="N150" s="24" t="s">
        <v>523</v>
      </c>
      <c r="O150" s="24" t="s">
        <v>1161</v>
      </c>
      <c r="P150" s="24"/>
      <c r="Q150" s="34"/>
    </row>
    <row r="151" spans="1:17" ht="12.95" hidden="1" customHeight="1">
      <c r="A151" s="19"/>
      <c r="B151" s="23" t="s">
        <v>427</v>
      </c>
      <c r="C151" s="23" t="s">
        <v>469</v>
      </c>
      <c r="D151" s="23" t="s">
        <v>759</v>
      </c>
      <c r="E151" s="23" t="s">
        <v>760</v>
      </c>
      <c r="F151" s="23"/>
      <c r="G151" s="28"/>
      <c r="H151" s="28"/>
      <c r="I151" s="24" t="s">
        <v>588</v>
      </c>
      <c r="J151" s="24">
        <v>1</v>
      </c>
      <c r="K151" s="24" t="s">
        <v>479</v>
      </c>
      <c r="L151" s="23" t="s">
        <v>560</v>
      </c>
      <c r="M151" s="24" t="s">
        <v>72</v>
      </c>
      <c r="N151" s="24" t="s">
        <v>523</v>
      </c>
      <c r="O151" s="24" t="s">
        <v>1161</v>
      </c>
      <c r="P151" s="24"/>
      <c r="Q151" s="34"/>
    </row>
    <row r="152" spans="1:17" ht="12.95" hidden="1" customHeight="1">
      <c r="A152" s="19">
        <v>56</v>
      </c>
      <c r="B152" s="27" t="s">
        <v>428</v>
      </c>
      <c r="C152" s="27" t="s">
        <v>469</v>
      </c>
      <c r="D152" s="21" t="s">
        <v>762</v>
      </c>
      <c r="E152" s="27"/>
      <c r="F152" s="27" t="s">
        <v>763</v>
      </c>
      <c r="G152" s="20"/>
      <c r="H152" s="20" t="s">
        <v>1171</v>
      </c>
      <c r="I152" s="27" t="s">
        <v>255</v>
      </c>
      <c r="J152" s="27">
        <v>1</v>
      </c>
      <c r="K152" s="27" t="s">
        <v>500</v>
      </c>
      <c r="L152" s="21" t="s">
        <v>546</v>
      </c>
      <c r="M152" s="27" t="s">
        <v>72</v>
      </c>
      <c r="N152" s="27" t="s">
        <v>523</v>
      </c>
      <c r="O152" s="27" t="s">
        <v>1161</v>
      </c>
      <c r="P152" s="27"/>
      <c r="Q152" s="35" t="s">
        <v>764</v>
      </c>
    </row>
    <row r="153" spans="1:17" ht="12.95" hidden="1" customHeight="1">
      <c r="A153" s="19"/>
      <c r="B153" s="27" t="s">
        <v>428</v>
      </c>
      <c r="C153" s="27" t="s">
        <v>469</v>
      </c>
      <c r="D153" s="21" t="s">
        <v>762</v>
      </c>
      <c r="E153" s="27"/>
      <c r="F153" s="27" t="s">
        <v>763</v>
      </c>
      <c r="G153" s="20"/>
      <c r="H153" s="20" t="s">
        <v>1152</v>
      </c>
      <c r="I153" s="27" t="s">
        <v>598</v>
      </c>
      <c r="J153" s="27">
        <v>1</v>
      </c>
      <c r="K153" s="27" t="s">
        <v>500</v>
      </c>
      <c r="L153" s="21" t="s">
        <v>546</v>
      </c>
      <c r="M153" s="27" t="s">
        <v>72</v>
      </c>
      <c r="N153" s="27" t="s">
        <v>523</v>
      </c>
      <c r="O153" s="27" t="s">
        <v>1161</v>
      </c>
      <c r="P153" s="27"/>
      <c r="Q153" s="35"/>
    </row>
    <row r="154" spans="1:17" ht="12.95" hidden="1" customHeight="1">
      <c r="A154" s="19"/>
      <c r="B154" s="27" t="s">
        <v>428</v>
      </c>
      <c r="C154" s="27" t="s">
        <v>469</v>
      </c>
      <c r="D154" s="21" t="s">
        <v>762</v>
      </c>
      <c r="E154" s="27"/>
      <c r="F154" s="27" t="s">
        <v>763</v>
      </c>
      <c r="G154" s="20"/>
      <c r="H154" s="20"/>
      <c r="I154" s="27" t="s">
        <v>111</v>
      </c>
      <c r="J154" s="27">
        <v>1</v>
      </c>
      <c r="K154" s="27" t="s">
        <v>500</v>
      </c>
      <c r="L154" s="21" t="s">
        <v>546</v>
      </c>
      <c r="M154" s="27" t="s">
        <v>72</v>
      </c>
      <c r="N154" s="27" t="s">
        <v>523</v>
      </c>
      <c r="O154" s="27" t="s">
        <v>1161</v>
      </c>
      <c r="P154" s="27"/>
      <c r="Q154" s="35"/>
    </row>
    <row r="155" spans="1:17" ht="12.95" hidden="1" customHeight="1">
      <c r="A155" s="19"/>
      <c r="B155" s="27" t="s">
        <v>428</v>
      </c>
      <c r="C155" s="27" t="s">
        <v>469</v>
      </c>
      <c r="D155" s="21" t="s">
        <v>762</v>
      </c>
      <c r="E155" s="27"/>
      <c r="F155" s="27" t="s">
        <v>763</v>
      </c>
      <c r="G155" s="20"/>
      <c r="H155" s="20"/>
      <c r="I155" s="27" t="s">
        <v>737</v>
      </c>
      <c r="J155" s="27">
        <v>1</v>
      </c>
      <c r="K155" s="27" t="s">
        <v>500</v>
      </c>
      <c r="L155" s="21" t="s">
        <v>546</v>
      </c>
      <c r="M155" s="27" t="s">
        <v>72</v>
      </c>
      <c r="N155" s="27" t="s">
        <v>523</v>
      </c>
      <c r="O155" s="27" t="s">
        <v>1161</v>
      </c>
      <c r="P155" s="27"/>
      <c r="Q155" s="35"/>
    </row>
    <row r="156" spans="1:17" ht="12.95" hidden="1" customHeight="1">
      <c r="A156" s="19"/>
      <c r="B156" s="27" t="s">
        <v>428</v>
      </c>
      <c r="C156" s="27" t="s">
        <v>469</v>
      </c>
      <c r="D156" s="21" t="s">
        <v>762</v>
      </c>
      <c r="E156" s="27"/>
      <c r="F156" s="27" t="s">
        <v>763</v>
      </c>
      <c r="G156" s="20"/>
      <c r="H156" s="20"/>
      <c r="I156" s="27" t="s">
        <v>704</v>
      </c>
      <c r="J156" s="27">
        <v>1</v>
      </c>
      <c r="K156" s="27" t="s">
        <v>500</v>
      </c>
      <c r="L156" s="21" t="s">
        <v>492</v>
      </c>
      <c r="M156" s="27" t="s">
        <v>72</v>
      </c>
      <c r="N156" s="27" t="s">
        <v>523</v>
      </c>
      <c r="O156" s="27" t="s">
        <v>1161</v>
      </c>
      <c r="P156" s="27"/>
      <c r="Q156" s="35"/>
    </row>
    <row r="157" spans="1:17" ht="20.25" hidden="1" customHeight="1">
      <c r="A157" s="19">
        <v>57</v>
      </c>
      <c r="B157" s="24" t="s">
        <v>429</v>
      </c>
      <c r="C157" s="24" t="s">
        <v>469</v>
      </c>
      <c r="D157" s="24" t="s">
        <v>765</v>
      </c>
      <c r="E157" s="23" t="s">
        <v>766</v>
      </c>
      <c r="F157" s="23"/>
      <c r="G157" s="28"/>
      <c r="H157" s="28"/>
      <c r="I157" s="24" t="s">
        <v>720</v>
      </c>
      <c r="J157" s="24">
        <v>1</v>
      </c>
      <c r="K157" s="24"/>
      <c r="L157" s="24"/>
      <c r="M157" s="24" t="s">
        <v>72</v>
      </c>
      <c r="N157" s="24" t="s">
        <v>523</v>
      </c>
      <c r="O157" s="24" t="s">
        <v>1161</v>
      </c>
      <c r="P157" s="24"/>
      <c r="Q157" s="32" t="s">
        <v>767</v>
      </c>
    </row>
    <row r="158" spans="1:17" ht="12" hidden="1">
      <c r="A158" s="19">
        <v>58</v>
      </c>
      <c r="B158" s="21" t="s">
        <v>430</v>
      </c>
      <c r="C158" s="21" t="s">
        <v>469</v>
      </c>
      <c r="D158" s="21" t="s">
        <v>768</v>
      </c>
      <c r="E158" s="21" t="s">
        <v>769</v>
      </c>
      <c r="F158" s="21"/>
      <c r="G158" s="30"/>
      <c r="H158" s="30"/>
      <c r="I158" s="27" t="s">
        <v>770</v>
      </c>
      <c r="J158" s="27">
        <v>2</v>
      </c>
      <c r="K158" s="27"/>
      <c r="L158" s="27" t="s">
        <v>771</v>
      </c>
      <c r="M158" s="27" t="s">
        <v>72</v>
      </c>
      <c r="N158" s="27" t="s">
        <v>523</v>
      </c>
      <c r="O158" s="27" t="s">
        <v>1161</v>
      </c>
      <c r="P158" s="27"/>
      <c r="Q158" s="31"/>
    </row>
    <row r="159" spans="1:17" ht="20.25" hidden="1" customHeight="1">
      <c r="A159" s="19">
        <v>59</v>
      </c>
      <c r="B159" s="23" t="s">
        <v>431</v>
      </c>
      <c r="C159" s="23" t="s">
        <v>469</v>
      </c>
      <c r="D159" s="23" t="s">
        <v>772</v>
      </c>
      <c r="E159" s="23" t="s">
        <v>773</v>
      </c>
      <c r="F159" s="23"/>
      <c r="G159" s="28"/>
      <c r="H159" s="28"/>
      <c r="I159" s="24" t="s">
        <v>770</v>
      </c>
      <c r="J159" s="24">
        <v>1</v>
      </c>
      <c r="K159" s="24"/>
      <c r="L159" s="23" t="s">
        <v>475</v>
      </c>
      <c r="M159" s="24" t="s">
        <v>72</v>
      </c>
      <c r="N159" s="24" t="s">
        <v>523</v>
      </c>
      <c r="O159" s="24" t="s">
        <v>1161</v>
      </c>
      <c r="P159" s="24"/>
      <c r="Q159" s="32"/>
    </row>
    <row r="160" spans="1:17" ht="20.25" hidden="1" customHeight="1">
      <c r="A160" s="19">
        <v>60</v>
      </c>
      <c r="B160" s="27" t="s">
        <v>432</v>
      </c>
      <c r="C160" s="27" t="s">
        <v>469</v>
      </c>
      <c r="D160" s="27"/>
      <c r="E160" s="27"/>
      <c r="F160" s="27"/>
      <c r="G160" s="20"/>
      <c r="H160" s="20"/>
      <c r="I160" s="27"/>
      <c r="J160" s="27"/>
      <c r="K160" s="27"/>
      <c r="L160" s="21"/>
      <c r="M160" s="27" t="s">
        <v>72</v>
      </c>
      <c r="N160" s="27" t="s">
        <v>523</v>
      </c>
      <c r="O160" s="27" t="s">
        <v>1161</v>
      </c>
      <c r="P160" s="27"/>
      <c r="Q160" s="22" t="s">
        <v>774</v>
      </c>
    </row>
    <row r="161" spans="1:17" ht="20.25" hidden="1" customHeight="1">
      <c r="A161" s="19">
        <v>61</v>
      </c>
      <c r="B161" s="24" t="s">
        <v>433</v>
      </c>
      <c r="C161" s="24" t="s">
        <v>469</v>
      </c>
      <c r="D161" s="24" t="s">
        <v>775</v>
      </c>
      <c r="E161" s="24" t="s">
        <v>776</v>
      </c>
      <c r="F161" s="24"/>
      <c r="G161" s="25"/>
      <c r="H161" s="25"/>
      <c r="I161" s="24"/>
      <c r="J161" s="24"/>
      <c r="K161" s="24"/>
      <c r="L161" s="23"/>
      <c r="M161" s="24" t="s">
        <v>72</v>
      </c>
      <c r="N161" s="24" t="s">
        <v>523</v>
      </c>
      <c r="O161" s="24" t="s">
        <v>1161</v>
      </c>
      <c r="P161" s="24"/>
      <c r="Q161" s="26" t="s">
        <v>774</v>
      </c>
    </row>
    <row r="162" spans="1:17" ht="20.25" hidden="1" customHeight="1">
      <c r="A162" s="19">
        <v>62</v>
      </c>
      <c r="B162" s="27" t="s">
        <v>434</v>
      </c>
      <c r="C162" s="27" t="s">
        <v>469</v>
      </c>
      <c r="D162" s="27"/>
      <c r="E162" s="27"/>
      <c r="F162" s="27"/>
      <c r="G162" s="20"/>
      <c r="H162" s="20"/>
      <c r="I162" s="27" t="s">
        <v>720</v>
      </c>
      <c r="J162" s="27"/>
      <c r="K162" s="27"/>
      <c r="L162" s="21" t="s">
        <v>662</v>
      </c>
      <c r="M162" s="27" t="s">
        <v>72</v>
      </c>
      <c r="N162" s="27" t="s">
        <v>523</v>
      </c>
      <c r="O162" s="27" t="s">
        <v>1161</v>
      </c>
      <c r="P162" s="27"/>
      <c r="Q162" s="31" t="s">
        <v>774</v>
      </c>
    </row>
    <row r="163" spans="1:17" ht="20.25" hidden="1" customHeight="1">
      <c r="A163" s="19">
        <v>63</v>
      </c>
      <c r="B163" s="24" t="s">
        <v>435</v>
      </c>
      <c r="C163" s="24" t="s">
        <v>469</v>
      </c>
      <c r="D163" s="24"/>
      <c r="E163" s="24"/>
      <c r="F163" s="24"/>
      <c r="G163" s="25"/>
      <c r="H163" s="25"/>
      <c r="I163" s="24"/>
      <c r="J163" s="24"/>
      <c r="K163" s="24"/>
      <c r="L163" s="23"/>
      <c r="M163" s="24" t="s">
        <v>72</v>
      </c>
      <c r="N163" s="24" t="s">
        <v>523</v>
      </c>
      <c r="O163" s="24" t="s">
        <v>1161</v>
      </c>
      <c r="P163" s="24"/>
      <c r="Q163" s="26" t="s">
        <v>774</v>
      </c>
    </row>
    <row r="164" spans="1:17" ht="12" hidden="1">
      <c r="A164" s="19">
        <v>64</v>
      </c>
      <c r="B164" s="27" t="s">
        <v>436</v>
      </c>
      <c r="C164" s="27" t="s">
        <v>469</v>
      </c>
      <c r="D164" s="27"/>
      <c r="E164" s="27"/>
      <c r="F164" s="27"/>
      <c r="G164" s="20"/>
      <c r="H164" s="20"/>
      <c r="I164" s="27"/>
      <c r="J164" s="27"/>
      <c r="K164" s="27"/>
      <c r="L164" s="21"/>
      <c r="M164" s="27" t="s">
        <v>72</v>
      </c>
      <c r="N164" s="27" t="s">
        <v>523</v>
      </c>
      <c r="O164" s="27" t="s">
        <v>1161</v>
      </c>
      <c r="P164" s="27"/>
      <c r="Q164" s="22" t="s">
        <v>774</v>
      </c>
    </row>
    <row r="165" spans="1:17" ht="12" hidden="1">
      <c r="A165" s="19">
        <v>65</v>
      </c>
      <c r="B165" s="23" t="s">
        <v>437</v>
      </c>
      <c r="C165" s="23" t="s">
        <v>469</v>
      </c>
      <c r="D165" s="23" t="s">
        <v>777</v>
      </c>
      <c r="E165" s="23" t="s">
        <v>778</v>
      </c>
      <c r="F165" s="23"/>
      <c r="G165" s="28"/>
      <c r="H165" s="28"/>
      <c r="I165" s="24"/>
      <c r="J165" s="24"/>
      <c r="K165" s="24"/>
      <c r="L165" s="23"/>
      <c r="M165" s="24" t="s">
        <v>72</v>
      </c>
      <c r="N165" s="24" t="s">
        <v>523</v>
      </c>
      <c r="O165" s="24" t="s">
        <v>1161</v>
      </c>
      <c r="P165" s="24"/>
      <c r="Q165" s="26" t="s">
        <v>774</v>
      </c>
    </row>
    <row r="166" spans="1:17" ht="20.25" hidden="1" customHeight="1">
      <c r="A166" s="19">
        <v>66</v>
      </c>
      <c r="B166" s="21" t="s">
        <v>438</v>
      </c>
      <c r="C166" s="21" t="s">
        <v>469</v>
      </c>
      <c r="D166" s="21" t="s">
        <v>781</v>
      </c>
      <c r="E166" s="21" t="s">
        <v>1200</v>
      </c>
      <c r="F166" s="21"/>
      <c r="G166" s="30"/>
      <c r="H166" s="30"/>
      <c r="I166" s="27"/>
      <c r="J166" s="27"/>
      <c r="K166" s="27"/>
      <c r="L166" s="21"/>
      <c r="M166" s="27" t="s">
        <v>72</v>
      </c>
      <c r="N166" s="27" t="s">
        <v>523</v>
      </c>
      <c r="O166" s="27" t="s">
        <v>1161</v>
      </c>
      <c r="P166" s="27"/>
      <c r="Q166" s="22" t="s">
        <v>774</v>
      </c>
    </row>
    <row r="167" spans="1:17" ht="12" hidden="1">
      <c r="A167" s="19">
        <v>67</v>
      </c>
      <c r="B167" s="24" t="s">
        <v>439</v>
      </c>
      <c r="C167" s="24" t="s">
        <v>469</v>
      </c>
      <c r="D167" s="24" t="s">
        <v>779</v>
      </c>
      <c r="E167" s="24" t="s">
        <v>780</v>
      </c>
      <c r="F167" s="24"/>
      <c r="G167" s="25"/>
      <c r="H167" s="25"/>
      <c r="I167" s="24" t="s">
        <v>664</v>
      </c>
      <c r="J167" s="24">
        <v>1</v>
      </c>
      <c r="K167" s="24"/>
      <c r="L167" s="23"/>
      <c r="M167" s="24" t="s">
        <v>72</v>
      </c>
      <c r="N167" s="24" t="s">
        <v>523</v>
      </c>
      <c r="O167" s="24" t="s">
        <v>1161</v>
      </c>
      <c r="P167" s="24"/>
      <c r="Q167" s="32" t="s">
        <v>774</v>
      </c>
    </row>
    <row r="168" spans="1:17" ht="22.5" hidden="1">
      <c r="A168" s="19">
        <v>68</v>
      </c>
      <c r="B168" s="27" t="s">
        <v>440</v>
      </c>
      <c r="C168" s="27" t="s">
        <v>469</v>
      </c>
      <c r="D168" s="27" t="s">
        <v>781</v>
      </c>
      <c r="E168" s="27" t="s">
        <v>782</v>
      </c>
      <c r="F168" s="27"/>
      <c r="G168" s="20"/>
      <c r="H168" s="20"/>
      <c r="I168" s="21" t="s">
        <v>1201</v>
      </c>
      <c r="J168" s="27"/>
      <c r="K168" s="27"/>
      <c r="L168" s="21"/>
      <c r="M168" s="27" t="s">
        <v>72</v>
      </c>
      <c r="N168" s="27" t="s">
        <v>523</v>
      </c>
      <c r="O168" s="27" t="s">
        <v>1161</v>
      </c>
      <c r="P168" s="27"/>
      <c r="Q168" s="31" t="s">
        <v>784</v>
      </c>
    </row>
    <row r="169" spans="1:17" ht="33.75" hidden="1">
      <c r="A169" s="19">
        <v>68</v>
      </c>
      <c r="B169" s="27" t="s">
        <v>440</v>
      </c>
      <c r="C169" s="27" t="s">
        <v>469</v>
      </c>
      <c r="D169" s="27" t="s">
        <v>781</v>
      </c>
      <c r="E169" s="27" t="s">
        <v>782</v>
      </c>
      <c r="F169" s="27"/>
      <c r="G169" s="20"/>
      <c r="H169" s="20"/>
      <c r="I169" s="21" t="s">
        <v>1202</v>
      </c>
      <c r="J169" s="27"/>
      <c r="K169" s="27"/>
      <c r="L169" s="21"/>
      <c r="M169" s="27" t="s">
        <v>72</v>
      </c>
      <c r="N169" s="27" t="s">
        <v>523</v>
      </c>
      <c r="O169" s="27" t="s">
        <v>1161</v>
      </c>
      <c r="P169" s="27"/>
      <c r="Q169" s="31" t="s">
        <v>784</v>
      </c>
    </row>
    <row r="170" spans="1:17" ht="22.5" hidden="1">
      <c r="A170" s="19">
        <v>68</v>
      </c>
      <c r="B170" s="27" t="s">
        <v>440</v>
      </c>
      <c r="C170" s="27" t="s">
        <v>469</v>
      </c>
      <c r="D170" s="27" t="s">
        <v>781</v>
      </c>
      <c r="E170" s="27" t="s">
        <v>782</v>
      </c>
      <c r="F170" s="27"/>
      <c r="G170" s="20"/>
      <c r="H170" s="20"/>
      <c r="I170" s="21" t="s">
        <v>1203</v>
      </c>
      <c r="J170" s="27"/>
      <c r="K170" s="27"/>
      <c r="L170" s="21"/>
      <c r="M170" s="27" t="s">
        <v>72</v>
      </c>
      <c r="N170" s="27" t="s">
        <v>523</v>
      </c>
      <c r="O170" s="27" t="s">
        <v>1161</v>
      </c>
      <c r="P170" s="27"/>
      <c r="Q170" s="31" t="s">
        <v>784</v>
      </c>
    </row>
    <row r="171" spans="1:17" ht="22.5" hidden="1">
      <c r="A171" s="19">
        <v>68</v>
      </c>
      <c r="B171" s="27" t="s">
        <v>440</v>
      </c>
      <c r="C171" s="27" t="s">
        <v>469</v>
      </c>
      <c r="D171" s="27" t="s">
        <v>781</v>
      </c>
      <c r="E171" s="27" t="s">
        <v>782</v>
      </c>
      <c r="F171" s="27"/>
      <c r="G171" s="20"/>
      <c r="H171" s="20"/>
      <c r="I171" s="21" t="s">
        <v>1204</v>
      </c>
      <c r="J171" s="27"/>
      <c r="K171" s="27"/>
      <c r="L171" s="21"/>
      <c r="M171" s="27" t="s">
        <v>72</v>
      </c>
      <c r="N171" s="27" t="s">
        <v>523</v>
      </c>
      <c r="O171" s="27" t="s">
        <v>1161</v>
      </c>
      <c r="P171" s="27"/>
      <c r="Q171" s="31" t="s">
        <v>784</v>
      </c>
    </row>
    <row r="172" spans="1:17" ht="33.75" hidden="1">
      <c r="A172" s="19">
        <v>68</v>
      </c>
      <c r="B172" s="27" t="s">
        <v>440</v>
      </c>
      <c r="C172" s="27" t="s">
        <v>469</v>
      </c>
      <c r="D172" s="27" t="s">
        <v>781</v>
      </c>
      <c r="E172" s="27" t="s">
        <v>782</v>
      </c>
      <c r="F172" s="27"/>
      <c r="G172" s="20"/>
      <c r="H172" s="20"/>
      <c r="I172" s="21" t="s">
        <v>1205</v>
      </c>
      <c r="J172" s="27"/>
      <c r="K172" s="27"/>
      <c r="L172" s="21"/>
      <c r="M172" s="27" t="s">
        <v>72</v>
      </c>
      <c r="N172" s="27" t="s">
        <v>523</v>
      </c>
      <c r="O172" s="27" t="s">
        <v>1161</v>
      </c>
      <c r="P172" s="27"/>
      <c r="Q172" s="31" t="s">
        <v>784</v>
      </c>
    </row>
    <row r="173" spans="1:17" ht="12" hidden="1">
      <c r="A173" s="19">
        <v>68</v>
      </c>
      <c r="B173" s="27" t="s">
        <v>440</v>
      </c>
      <c r="C173" s="27" t="s">
        <v>469</v>
      </c>
      <c r="D173" s="27" t="s">
        <v>781</v>
      </c>
      <c r="E173" s="27" t="s">
        <v>782</v>
      </c>
      <c r="F173" s="27"/>
      <c r="G173" s="20"/>
      <c r="H173" s="20"/>
      <c r="I173" s="21" t="s">
        <v>1206</v>
      </c>
      <c r="J173" s="27"/>
      <c r="K173" s="27"/>
      <c r="L173" s="21"/>
      <c r="M173" s="27" t="s">
        <v>72</v>
      </c>
      <c r="N173" s="27" t="s">
        <v>523</v>
      </c>
      <c r="O173" s="27" t="s">
        <v>1161</v>
      </c>
      <c r="P173" s="27"/>
      <c r="Q173" s="31" t="s">
        <v>784</v>
      </c>
    </row>
    <row r="174" spans="1:17" ht="12" hidden="1">
      <c r="A174" s="19">
        <v>69</v>
      </c>
      <c r="B174" s="23" t="s">
        <v>441</v>
      </c>
      <c r="C174" s="23" t="s">
        <v>469</v>
      </c>
      <c r="D174" s="23" t="s">
        <v>785</v>
      </c>
      <c r="E174" s="23" t="s">
        <v>786</v>
      </c>
      <c r="F174" s="23"/>
      <c r="G174" s="28"/>
      <c r="H174" s="28" t="s">
        <v>1152</v>
      </c>
      <c r="I174" s="24" t="s">
        <v>598</v>
      </c>
      <c r="J174" s="24">
        <v>1</v>
      </c>
      <c r="K174" s="24"/>
      <c r="L174" s="23"/>
      <c r="M174" s="24" t="s">
        <v>72</v>
      </c>
      <c r="N174" s="24" t="s">
        <v>523</v>
      </c>
      <c r="O174" s="24" t="s">
        <v>1161</v>
      </c>
      <c r="P174" s="24"/>
      <c r="Q174" s="26" t="s">
        <v>774</v>
      </c>
    </row>
    <row r="175" spans="1:17" ht="22.5" hidden="1" customHeight="1">
      <c r="A175" s="19">
        <v>70</v>
      </c>
      <c r="B175" s="27" t="s">
        <v>442</v>
      </c>
      <c r="C175" s="27" t="s">
        <v>469</v>
      </c>
      <c r="D175" s="27" t="s">
        <v>1207</v>
      </c>
      <c r="E175" s="27" t="s">
        <v>1208</v>
      </c>
      <c r="F175" s="27"/>
      <c r="G175" s="20"/>
      <c r="H175" s="20"/>
      <c r="I175" s="21" t="s">
        <v>790</v>
      </c>
      <c r="J175" s="27"/>
      <c r="K175" s="27"/>
      <c r="L175" s="21"/>
      <c r="M175" s="27" t="s">
        <v>72</v>
      </c>
      <c r="N175" s="27" t="s">
        <v>523</v>
      </c>
      <c r="O175" s="27" t="s">
        <v>1161</v>
      </c>
      <c r="P175" s="27"/>
      <c r="Q175" s="22" t="s">
        <v>774</v>
      </c>
    </row>
    <row r="176" spans="1:17" ht="16.5" hidden="1">
      <c r="A176" s="19">
        <v>71</v>
      </c>
      <c r="B176" s="51" t="s">
        <v>927</v>
      </c>
      <c r="C176" s="51" t="s">
        <v>1209</v>
      </c>
      <c r="D176" s="53" t="s">
        <v>928</v>
      </c>
      <c r="E176" s="51" t="s">
        <v>929</v>
      </c>
      <c r="F176" s="51" t="s">
        <v>930</v>
      </c>
      <c r="G176" s="40" t="s">
        <v>931</v>
      </c>
      <c r="H176" s="51"/>
      <c r="I176" s="51" t="s">
        <v>1210</v>
      </c>
      <c r="J176" s="51">
        <v>4</v>
      </c>
      <c r="K176" s="51"/>
      <c r="L176" s="51"/>
      <c r="M176" s="51"/>
      <c r="N176" s="51"/>
      <c r="O176" s="51"/>
      <c r="P176" s="51"/>
      <c r="Q176" s="51"/>
    </row>
    <row r="177" spans="1:17" ht="16.5" hidden="1">
      <c r="A177" s="19"/>
      <c r="B177" s="51"/>
      <c r="C177" s="51"/>
      <c r="D177" s="53"/>
      <c r="E177" s="51"/>
      <c r="F177" s="51"/>
      <c r="G177" s="42"/>
      <c r="H177" s="51"/>
      <c r="I177" s="51" t="s">
        <v>1211</v>
      </c>
      <c r="J177" s="51">
        <v>3</v>
      </c>
      <c r="K177" s="51"/>
      <c r="L177" s="51"/>
      <c r="M177" s="51"/>
      <c r="N177" s="51"/>
      <c r="O177" s="51"/>
      <c r="P177" s="51"/>
      <c r="Q177" s="51"/>
    </row>
    <row r="178" spans="1:17" ht="16.5" hidden="1">
      <c r="A178" s="19"/>
      <c r="B178" s="51"/>
      <c r="C178" s="51"/>
      <c r="D178" s="53"/>
      <c r="E178" s="51"/>
      <c r="F178" s="51"/>
      <c r="G178" s="42"/>
      <c r="H178" s="51"/>
      <c r="I178" s="51" t="s">
        <v>1212</v>
      </c>
      <c r="J178" s="51">
        <v>2</v>
      </c>
      <c r="K178" s="51"/>
      <c r="L178" s="51"/>
      <c r="M178" s="51"/>
      <c r="N178" s="51"/>
      <c r="O178" s="51"/>
      <c r="P178" s="51"/>
      <c r="Q178" s="51"/>
    </row>
    <row r="179" spans="1:17" ht="16.5" hidden="1">
      <c r="A179" s="19"/>
      <c r="B179" s="51"/>
      <c r="C179" s="51"/>
      <c r="D179" s="53"/>
      <c r="E179" s="51"/>
      <c r="F179" s="51"/>
      <c r="G179" s="42"/>
      <c r="H179" s="51"/>
      <c r="I179" s="51" t="s">
        <v>1213</v>
      </c>
      <c r="J179" s="51">
        <v>2</v>
      </c>
      <c r="K179" s="51"/>
      <c r="L179" s="51"/>
      <c r="M179" s="51"/>
      <c r="N179" s="51"/>
      <c r="O179" s="51"/>
      <c r="P179" s="51"/>
      <c r="Q179" s="51"/>
    </row>
    <row r="180" spans="1:17" ht="16.5" hidden="1">
      <c r="A180" s="19"/>
      <c r="B180" s="51"/>
      <c r="C180" s="51"/>
      <c r="D180" s="53"/>
      <c r="E180" s="51"/>
      <c r="F180" s="51"/>
      <c r="G180" s="42"/>
      <c r="H180" s="51"/>
      <c r="I180" s="51" t="s">
        <v>1214</v>
      </c>
      <c r="J180" s="51">
        <v>1</v>
      </c>
      <c r="K180" s="51"/>
      <c r="L180" s="51"/>
      <c r="M180" s="51"/>
      <c r="N180" s="51"/>
      <c r="O180" s="51"/>
      <c r="P180" s="51"/>
      <c r="Q180" s="51"/>
    </row>
    <row r="181" spans="1:17" ht="16.5" hidden="1">
      <c r="A181" s="19"/>
      <c r="B181" s="51"/>
      <c r="C181" s="51"/>
      <c r="D181" s="53"/>
      <c r="E181" s="51"/>
      <c r="F181" s="51"/>
      <c r="G181" s="42"/>
      <c r="H181" s="51"/>
      <c r="I181" s="51" t="s">
        <v>1211</v>
      </c>
      <c r="J181" s="51">
        <v>2</v>
      </c>
      <c r="K181" s="51"/>
      <c r="L181" s="51"/>
      <c r="M181" s="51"/>
      <c r="N181" s="51"/>
      <c r="O181" s="51"/>
      <c r="P181" s="51"/>
      <c r="Q181" s="51"/>
    </row>
    <row r="182" spans="1:17" ht="16.5" hidden="1">
      <c r="A182" s="19">
        <v>72</v>
      </c>
      <c r="B182" s="52" t="s">
        <v>932</v>
      </c>
      <c r="C182" s="52" t="s">
        <v>1215</v>
      </c>
      <c r="D182" s="54" t="s">
        <v>1216</v>
      </c>
      <c r="E182" s="54" t="s">
        <v>1217</v>
      </c>
      <c r="F182" s="54" t="s">
        <v>1218</v>
      </c>
      <c r="G182" s="41" t="s">
        <v>1219</v>
      </c>
      <c r="H182" s="54"/>
      <c r="I182" s="52" t="s">
        <v>1210</v>
      </c>
      <c r="J182" s="52"/>
      <c r="K182" s="52"/>
      <c r="L182" s="52"/>
      <c r="M182" s="52"/>
      <c r="N182" s="52"/>
      <c r="O182" s="52"/>
      <c r="P182" s="52"/>
      <c r="Q182" s="52"/>
    </row>
    <row r="183" spans="1:17" ht="16.5" hidden="1">
      <c r="A183" s="19">
        <v>73</v>
      </c>
      <c r="B183" s="51" t="s">
        <v>937</v>
      </c>
      <c r="C183" s="51" t="s">
        <v>1215</v>
      </c>
      <c r="D183" s="53" t="s">
        <v>1220</v>
      </c>
      <c r="E183" s="51" t="s">
        <v>1221</v>
      </c>
      <c r="F183" s="51" t="s">
        <v>1222</v>
      </c>
      <c r="G183" s="42" t="s">
        <v>1223</v>
      </c>
      <c r="H183" s="51"/>
      <c r="I183" s="51" t="s">
        <v>1210</v>
      </c>
      <c r="J183" s="51"/>
      <c r="K183" s="51"/>
      <c r="L183" s="51"/>
      <c r="M183" s="51"/>
      <c r="N183" s="51"/>
      <c r="O183" s="51"/>
      <c r="P183" s="51"/>
      <c r="Q183" s="51"/>
    </row>
    <row r="184" spans="1:17" ht="16.5" hidden="1">
      <c r="A184" s="19">
        <v>74</v>
      </c>
      <c r="B184" s="52" t="s">
        <v>942</v>
      </c>
      <c r="C184" s="52" t="s">
        <v>1215</v>
      </c>
      <c r="D184" s="54" t="s">
        <v>943</v>
      </c>
      <c r="E184" s="54" t="s">
        <v>944</v>
      </c>
      <c r="F184" s="54" t="s">
        <v>945</v>
      </c>
      <c r="G184" s="43" t="s">
        <v>946</v>
      </c>
      <c r="H184" s="54"/>
      <c r="I184" s="52" t="s">
        <v>1210</v>
      </c>
      <c r="J184" s="52"/>
      <c r="K184" s="52"/>
      <c r="L184" s="52"/>
      <c r="M184" s="52"/>
      <c r="N184" s="52"/>
      <c r="O184" s="52"/>
      <c r="P184" s="52"/>
      <c r="Q184" s="52"/>
    </row>
    <row r="185" spans="1:17" ht="16.5" hidden="1">
      <c r="A185" s="19">
        <v>75</v>
      </c>
      <c r="B185" s="51" t="s">
        <v>947</v>
      </c>
      <c r="C185" s="51" t="s">
        <v>1215</v>
      </c>
      <c r="D185" s="53" t="s">
        <v>1224</v>
      </c>
      <c r="E185" s="51" t="s">
        <v>949</v>
      </c>
      <c r="F185" s="51" t="s">
        <v>1225</v>
      </c>
      <c r="G185" s="42" t="s">
        <v>1226</v>
      </c>
      <c r="H185" s="51"/>
      <c r="I185" s="51" t="s">
        <v>1210</v>
      </c>
      <c r="J185" s="51"/>
      <c r="K185" s="51"/>
      <c r="L185" s="51"/>
      <c r="M185" s="51"/>
      <c r="N185" s="51"/>
      <c r="O185" s="51"/>
      <c r="P185" s="51"/>
      <c r="Q185" s="51"/>
    </row>
    <row r="186" spans="1:17" ht="16.5" hidden="1">
      <c r="A186" s="19">
        <v>76</v>
      </c>
      <c r="B186" s="52" t="s">
        <v>952</v>
      </c>
      <c r="C186" s="52" t="s">
        <v>1215</v>
      </c>
      <c r="D186" s="54" t="s">
        <v>953</v>
      </c>
      <c r="E186" s="54" t="s">
        <v>954</v>
      </c>
      <c r="F186" s="54" t="s">
        <v>955</v>
      </c>
      <c r="G186" s="41" t="s">
        <v>956</v>
      </c>
      <c r="H186" s="54"/>
      <c r="I186" s="52" t="s">
        <v>1210</v>
      </c>
      <c r="J186" s="52"/>
      <c r="K186" s="52"/>
      <c r="L186" s="52"/>
      <c r="M186" s="52"/>
      <c r="N186" s="52"/>
      <c r="O186" s="52"/>
      <c r="P186" s="52"/>
      <c r="Q186" s="52"/>
    </row>
    <row r="187" spans="1:17" ht="16.5" hidden="1">
      <c r="A187" s="19">
        <v>77</v>
      </c>
      <c r="B187" s="51" t="s">
        <v>957</v>
      </c>
      <c r="C187" s="51" t="s">
        <v>1215</v>
      </c>
      <c r="D187" s="53" t="s">
        <v>958</v>
      </c>
      <c r="E187" s="51" t="s">
        <v>959</v>
      </c>
      <c r="F187" s="55" t="s">
        <v>960</v>
      </c>
      <c r="G187" s="44" t="s">
        <v>961</v>
      </c>
      <c r="H187" s="55"/>
      <c r="I187" s="51" t="s">
        <v>1210</v>
      </c>
      <c r="J187" s="51"/>
      <c r="K187" s="51"/>
      <c r="L187" s="51"/>
      <c r="M187" s="51"/>
      <c r="N187" s="51"/>
      <c r="O187" s="51"/>
      <c r="P187" s="51"/>
      <c r="Q187" s="51"/>
    </row>
    <row r="188" spans="1:17" ht="16.5" hidden="1">
      <c r="A188" s="19">
        <v>78</v>
      </c>
      <c r="B188" s="52" t="s">
        <v>962</v>
      </c>
      <c r="C188" s="52" t="s">
        <v>1215</v>
      </c>
      <c r="D188" s="54" t="s">
        <v>938</v>
      </c>
      <c r="E188" s="56" t="s">
        <v>964</v>
      </c>
      <c r="F188" s="57" t="s">
        <v>1227</v>
      </c>
      <c r="G188" s="45" t="s">
        <v>941</v>
      </c>
      <c r="H188" s="57"/>
      <c r="I188" s="52" t="s">
        <v>1210</v>
      </c>
      <c r="J188" s="52"/>
      <c r="K188" s="52"/>
      <c r="L188" s="52"/>
      <c r="M188" s="52"/>
      <c r="N188" s="52"/>
      <c r="O188" s="52"/>
      <c r="P188" s="52"/>
      <c r="Q188" s="52"/>
    </row>
    <row r="189" spans="1:17" ht="16.5" hidden="1">
      <c r="A189" s="19">
        <v>79</v>
      </c>
      <c r="B189" s="51" t="s">
        <v>967</v>
      </c>
      <c r="C189" s="51" t="s">
        <v>1215</v>
      </c>
      <c r="D189" s="53" t="s">
        <v>968</v>
      </c>
      <c r="E189" s="51" t="s">
        <v>969</v>
      </c>
      <c r="F189" s="58" t="s">
        <v>970</v>
      </c>
      <c r="G189" s="46" t="s">
        <v>971</v>
      </c>
      <c r="H189" s="58"/>
      <c r="I189" s="51" t="s">
        <v>1210</v>
      </c>
      <c r="J189" s="51"/>
      <c r="K189" s="51"/>
      <c r="L189" s="51"/>
      <c r="M189" s="51"/>
      <c r="N189" s="51"/>
      <c r="O189" s="51"/>
      <c r="P189" s="51"/>
      <c r="Q189" s="51"/>
    </row>
    <row r="190" spans="1:17" ht="16.5" hidden="1">
      <c r="A190" s="19">
        <v>80</v>
      </c>
      <c r="B190" s="52" t="s">
        <v>972</v>
      </c>
      <c r="C190" s="52" t="s">
        <v>1215</v>
      </c>
      <c r="D190" s="54" t="s">
        <v>1228</v>
      </c>
      <c r="E190" s="54" t="s">
        <v>974</v>
      </c>
      <c r="F190" s="59" t="s">
        <v>1229</v>
      </c>
      <c r="G190" s="45" t="s">
        <v>1230</v>
      </c>
      <c r="H190" s="59"/>
      <c r="I190" s="52" t="s">
        <v>1210</v>
      </c>
      <c r="J190" s="52"/>
      <c r="K190" s="52"/>
      <c r="L190" s="52"/>
      <c r="M190" s="52"/>
      <c r="N190" s="52"/>
      <c r="O190" s="52"/>
      <c r="P190" s="52"/>
      <c r="Q190" s="52"/>
    </row>
    <row r="191" spans="1:17" ht="16.5" hidden="1">
      <c r="A191" s="19">
        <v>81</v>
      </c>
      <c r="B191" s="51" t="s">
        <v>977</v>
      </c>
      <c r="C191" s="51" t="s">
        <v>1215</v>
      </c>
      <c r="D191" s="53" t="s">
        <v>1231</v>
      </c>
      <c r="E191" s="51" t="s">
        <v>979</v>
      </c>
      <c r="F191" s="58" t="s">
        <v>1232</v>
      </c>
      <c r="G191" s="46" t="s">
        <v>1233</v>
      </c>
      <c r="H191" s="58"/>
      <c r="I191" s="51" t="s">
        <v>1210</v>
      </c>
      <c r="J191" s="51"/>
      <c r="K191" s="51"/>
      <c r="L191" s="51"/>
      <c r="M191" s="51"/>
      <c r="N191" s="51"/>
      <c r="O191" s="51"/>
      <c r="P191" s="51"/>
      <c r="Q191" s="51"/>
    </row>
    <row r="192" spans="1:17" ht="16.5" hidden="1">
      <c r="A192" s="19">
        <v>82</v>
      </c>
      <c r="B192" s="52" t="s">
        <v>982</v>
      </c>
      <c r="C192" s="52" t="s">
        <v>1215</v>
      </c>
      <c r="D192" s="54" t="s">
        <v>983</v>
      </c>
      <c r="E192" s="54" t="s">
        <v>984</v>
      </c>
      <c r="F192" s="60" t="s">
        <v>985</v>
      </c>
      <c r="G192" s="47" t="s">
        <v>986</v>
      </c>
      <c r="H192" s="60"/>
      <c r="I192" s="52" t="s">
        <v>1210</v>
      </c>
      <c r="J192" s="52"/>
      <c r="K192" s="52"/>
      <c r="L192" s="52"/>
      <c r="M192" s="52"/>
      <c r="N192" s="52"/>
      <c r="O192" s="52"/>
      <c r="P192" s="52"/>
      <c r="Q192" s="52"/>
    </row>
    <row r="193" spans="1:17" ht="16.5" hidden="1">
      <c r="A193" s="19">
        <v>83</v>
      </c>
      <c r="B193" s="51" t="s">
        <v>987</v>
      </c>
      <c r="C193" s="51" t="s">
        <v>1215</v>
      </c>
      <c r="D193" s="53" t="s">
        <v>988</v>
      </c>
      <c r="E193" s="51" t="s">
        <v>989</v>
      </c>
      <c r="F193" s="61" t="s">
        <v>990</v>
      </c>
      <c r="G193" s="48" t="s">
        <v>1234</v>
      </c>
      <c r="H193" s="61"/>
      <c r="I193" s="51" t="s">
        <v>1210</v>
      </c>
      <c r="J193" s="51"/>
      <c r="K193" s="51"/>
      <c r="L193" s="51"/>
      <c r="M193" s="51"/>
      <c r="N193" s="51"/>
      <c r="O193" s="51"/>
      <c r="P193" s="51"/>
      <c r="Q193" s="51"/>
    </row>
    <row r="194" spans="1:17" ht="16.5" hidden="1">
      <c r="A194" s="19">
        <v>84</v>
      </c>
      <c r="B194" s="52" t="s">
        <v>992</v>
      </c>
      <c r="C194" s="52" t="s">
        <v>1215</v>
      </c>
      <c r="D194" s="54" t="s">
        <v>993</v>
      </c>
      <c r="E194" s="54" t="s">
        <v>994</v>
      </c>
      <c r="F194" s="62" t="s">
        <v>995</v>
      </c>
      <c r="G194" s="49" t="s">
        <v>996</v>
      </c>
      <c r="H194" s="62"/>
      <c r="I194" s="52" t="s">
        <v>1210</v>
      </c>
      <c r="J194" s="52"/>
      <c r="K194" s="52"/>
      <c r="L194" s="52"/>
      <c r="M194" s="52"/>
      <c r="N194" s="52"/>
      <c r="O194" s="52"/>
      <c r="P194" s="52"/>
      <c r="Q194" s="52"/>
    </row>
    <row r="195" spans="1:17" ht="16.5" hidden="1">
      <c r="A195" s="19">
        <v>85</v>
      </c>
      <c r="B195" s="51" t="s">
        <v>997</v>
      </c>
      <c r="C195" s="51" t="s">
        <v>1215</v>
      </c>
      <c r="D195" s="53" t="s">
        <v>998</v>
      </c>
      <c r="E195" s="51" t="s">
        <v>999</v>
      </c>
      <c r="F195" s="63" t="s">
        <v>1000</v>
      </c>
      <c r="G195" s="46" t="s">
        <v>1001</v>
      </c>
      <c r="H195" s="63"/>
      <c r="I195" s="51" t="s">
        <v>1210</v>
      </c>
      <c r="J195" s="51"/>
      <c r="K195" s="51"/>
      <c r="L195" s="51"/>
      <c r="M195" s="51"/>
      <c r="N195" s="51"/>
      <c r="O195" s="51"/>
      <c r="P195" s="51"/>
      <c r="Q195" s="51"/>
    </row>
    <row r="196" spans="1:17" ht="16.5" hidden="1">
      <c r="A196" s="19">
        <v>86</v>
      </c>
      <c r="B196" s="52" t="s">
        <v>1002</v>
      </c>
      <c r="C196" s="52" t="s">
        <v>1215</v>
      </c>
      <c r="D196" s="54" t="s">
        <v>1235</v>
      </c>
      <c r="E196" s="54" t="s">
        <v>1004</v>
      </c>
      <c r="F196" s="54" t="s">
        <v>1236</v>
      </c>
      <c r="G196" s="43" t="s">
        <v>1237</v>
      </c>
      <c r="H196" s="54"/>
      <c r="I196" s="52" t="s">
        <v>1210</v>
      </c>
      <c r="J196" s="52"/>
      <c r="K196" s="52"/>
      <c r="L196" s="52"/>
      <c r="M196" s="52"/>
      <c r="N196" s="52"/>
      <c r="O196" s="52"/>
      <c r="P196" s="52"/>
      <c r="Q196" s="52"/>
    </row>
    <row r="197" spans="1:17" ht="16.5" hidden="1">
      <c r="A197" s="19">
        <v>87</v>
      </c>
      <c r="B197" s="51" t="s">
        <v>1007</v>
      </c>
      <c r="C197" s="51" t="s">
        <v>1215</v>
      </c>
      <c r="D197" s="53" t="s">
        <v>1008</v>
      </c>
      <c r="E197" s="51" t="s">
        <v>1009</v>
      </c>
      <c r="F197" s="51" t="s">
        <v>1010</v>
      </c>
      <c r="G197" s="42" t="s">
        <v>1011</v>
      </c>
      <c r="H197" s="51"/>
      <c r="I197" s="51" t="s">
        <v>1210</v>
      </c>
      <c r="J197" s="51"/>
      <c r="K197" s="51"/>
      <c r="L197" s="51"/>
      <c r="M197" s="51"/>
      <c r="N197" s="51"/>
      <c r="O197" s="51"/>
      <c r="P197" s="51"/>
      <c r="Q197" s="51"/>
    </row>
    <row r="198" spans="1:17" ht="16.5" hidden="1">
      <c r="A198" s="19">
        <v>88</v>
      </c>
      <c r="B198" s="52" t="s">
        <v>1012</v>
      </c>
      <c r="C198" s="52" t="s">
        <v>1215</v>
      </c>
      <c r="D198" s="54" t="s">
        <v>978</v>
      </c>
      <c r="E198" s="54" t="s">
        <v>1014</v>
      </c>
      <c r="F198" s="64" t="s">
        <v>980</v>
      </c>
      <c r="G198" s="41" t="s">
        <v>981</v>
      </c>
      <c r="H198" s="64"/>
      <c r="I198" s="52" t="s">
        <v>1210</v>
      </c>
      <c r="J198" s="52"/>
      <c r="K198" s="52"/>
      <c r="L198" s="52"/>
      <c r="M198" s="52"/>
      <c r="N198" s="52"/>
      <c r="O198" s="52"/>
      <c r="P198" s="52"/>
      <c r="Q198" s="52"/>
    </row>
    <row r="199" spans="1:17" ht="16.5" hidden="1">
      <c r="A199" s="109">
        <v>89</v>
      </c>
      <c r="B199" s="110" t="s">
        <v>1017</v>
      </c>
      <c r="C199" s="110" t="s">
        <v>1215</v>
      </c>
      <c r="D199" s="111" t="s">
        <v>1238</v>
      </c>
      <c r="E199" s="110" t="s">
        <v>1019</v>
      </c>
      <c r="F199" s="112" t="s">
        <v>1239</v>
      </c>
      <c r="G199" s="42" t="s">
        <v>1240</v>
      </c>
      <c r="H199" s="112"/>
      <c r="I199" s="110" t="s">
        <v>1210</v>
      </c>
      <c r="J199" s="110"/>
      <c r="K199" s="110"/>
      <c r="L199" s="110"/>
      <c r="M199" s="110"/>
      <c r="N199" s="110"/>
      <c r="O199" s="110"/>
      <c r="P199" s="110"/>
      <c r="Q199" s="110"/>
    </row>
    <row r="200" spans="1:17" hidden="1">
      <c r="A200" s="27">
        <v>90</v>
      </c>
      <c r="B200" s="27" t="s">
        <v>443</v>
      </c>
      <c r="C200" s="27" t="s">
        <v>1241</v>
      </c>
      <c r="D200" s="27" t="s">
        <v>794</v>
      </c>
      <c r="E200" s="27"/>
      <c r="F200" s="27" t="s">
        <v>795</v>
      </c>
      <c r="G200" s="27"/>
      <c r="H200" s="27"/>
      <c r="I200" s="27" t="s">
        <v>1242</v>
      </c>
      <c r="J200" s="27">
        <v>1</v>
      </c>
      <c r="K200" s="27"/>
      <c r="L200" s="27" t="s">
        <v>797</v>
      </c>
      <c r="M200" s="27" t="s">
        <v>798</v>
      </c>
      <c r="N200" s="27" t="s">
        <v>799</v>
      </c>
      <c r="O200" s="27" t="s">
        <v>1243</v>
      </c>
      <c r="P200" s="36"/>
      <c r="Q200" s="36" t="s">
        <v>800</v>
      </c>
    </row>
    <row r="201" spans="1:17" hidden="1">
      <c r="A201" s="27"/>
      <c r="B201" s="27" t="s">
        <v>443</v>
      </c>
      <c r="C201" s="27" t="s">
        <v>1241</v>
      </c>
      <c r="D201" s="27" t="s">
        <v>794</v>
      </c>
      <c r="E201" s="27"/>
      <c r="F201" s="27" t="s">
        <v>795</v>
      </c>
      <c r="G201" s="27"/>
      <c r="H201" s="27"/>
      <c r="I201" s="27" t="s">
        <v>1244</v>
      </c>
      <c r="J201" s="27">
        <v>1</v>
      </c>
      <c r="K201" s="27"/>
      <c r="L201" s="27" t="s">
        <v>797</v>
      </c>
      <c r="M201" s="27" t="s">
        <v>798</v>
      </c>
      <c r="N201" s="27" t="s">
        <v>799</v>
      </c>
      <c r="O201" s="27" t="s">
        <v>1243</v>
      </c>
      <c r="P201" s="36"/>
      <c r="Q201" s="36" t="s">
        <v>800</v>
      </c>
    </row>
  </sheetData>
  <autoFilter ref="A2:Q201" xr:uid="{3F7E243A-3467-F44F-A6BC-FAD1CF64237C}">
    <filterColumn colId="13">
      <filters>
        <filter val="유상"/>
      </filters>
    </filterColumn>
  </autoFilter>
  <mergeCells count="1">
    <mergeCell ref="A1:Q1"/>
  </mergeCells>
  <phoneticPr fontId="15" type="noConversion"/>
  <hyperlinks>
    <hyperlink ref="G176" r:id="rId1" xr:uid="{32B1B748-CC46-814A-A861-68A5CD6E8E67}"/>
    <hyperlink ref="G182" r:id="rId2" xr:uid="{F09697C3-32E5-8A48-8B54-03314CECA089}"/>
    <hyperlink ref="G183" r:id="rId3" xr:uid="{5880A515-14B2-E545-A8FA-4E0132BE3A01}"/>
    <hyperlink ref="G184" r:id="rId4" xr:uid="{FEC5F27B-D257-0F43-AC58-4B0A4F2571B6}"/>
    <hyperlink ref="G185" r:id="rId5" xr:uid="{03B5BAB5-E196-C54B-A22E-785C682BED51}"/>
    <hyperlink ref="G186" r:id="rId6" xr:uid="{C194C451-3ED6-F64E-BF2B-6CA9431AA3BA}"/>
    <hyperlink ref="G187" r:id="rId7" xr:uid="{8CB93544-BF20-C345-9845-7C46FB462839}"/>
    <hyperlink ref="G188" r:id="rId8" xr:uid="{DC0CC76B-FA4A-AB45-9E45-DCAEB863D0C8}"/>
    <hyperlink ref="G189" r:id="rId9" xr:uid="{470AC716-69C9-9542-9708-120F033EB2BE}"/>
    <hyperlink ref="G190" r:id="rId10" xr:uid="{5E2BFA19-B6C5-A84F-9B2C-1E723652321A}"/>
    <hyperlink ref="G191" r:id="rId11" xr:uid="{5E3776E1-0101-334A-8D35-B5A1805EF66D}"/>
    <hyperlink ref="G192" r:id="rId12" xr:uid="{85BC3CAB-0207-314A-903C-1B0EFCA542A1}"/>
    <hyperlink ref="G193" r:id="rId13" xr:uid="{2059ED41-E436-E848-8BFD-9579FE7C5F35}"/>
    <hyperlink ref="G195" r:id="rId14" xr:uid="{7AE7DE98-9CFC-D34C-AB98-AFE1DCBA243D}"/>
    <hyperlink ref="G196" r:id="rId15" xr:uid="{500213C9-5CA4-0943-830B-09D5C8937E57}"/>
    <hyperlink ref="G197" r:id="rId16" xr:uid="{4EFA117B-1D63-B343-A131-ABF061F63546}"/>
    <hyperlink ref="G198" r:id="rId17" xr:uid="{3D2A240D-D18D-6447-9B2B-591BAEDA39DA}"/>
    <hyperlink ref="G199" r:id="rId18" xr:uid="{88ACBC6C-BFFB-4237-B06A-FD2522575F40}"/>
    <hyperlink ref="G194" r:id="rId19" xr:uid="{712A9C0F-380A-4233-BF38-9767D19975EE}"/>
    <hyperlink ref="G67" r:id="rId20" xr:uid="{0E12BA88-8728-4A8C-B47E-2D8E721D1E45}"/>
  </hyperlinks>
  <printOptions verticalCentered="1"/>
  <pageMargins left="0.7086111307144165" right="0.7086111307144165" top="0.74750000238418579" bottom="0.74750000238418579" header="0.31486111879348755" footer="0.31486111879348755"/>
  <pageSetup paperSize="9" scale="64" orientation="landscape" horizontalDpi="300" verticalDpi="300" r:id="rId21"/>
  <legacyDrawing r:id="rId2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EEE9-CBE1-4B0D-A5DD-80B8CAB54D68}">
  <dimension ref="A1:F43"/>
  <sheetViews>
    <sheetView zoomScale="115" zoomScaleNormal="115" workbookViewId="0">
      <selection activeCell="C2" sqref="C2"/>
    </sheetView>
  </sheetViews>
  <sheetFormatPr defaultColWidth="8.875" defaultRowHeight="16.5"/>
  <cols>
    <col min="1" max="1" width="10.5" style="125" customWidth="1"/>
    <col min="2" max="2" width="27" customWidth="1"/>
    <col min="3" max="3" width="17.875" customWidth="1"/>
  </cols>
  <sheetData>
    <row r="1" spans="1:6">
      <c r="A1" s="135" t="s">
        <v>1995</v>
      </c>
      <c r="B1" s="135" t="s">
        <v>454</v>
      </c>
      <c r="C1" s="135" t="s">
        <v>1996</v>
      </c>
      <c r="D1" s="125"/>
      <c r="E1" s="125"/>
      <c r="F1" s="125"/>
    </row>
    <row r="2" spans="1:6">
      <c r="A2" s="125">
        <v>1</v>
      </c>
      <c r="B2" s="134" t="s">
        <v>1997</v>
      </c>
    </row>
    <row r="3" spans="1:6">
      <c r="A3" s="125">
        <v>2</v>
      </c>
      <c r="B3" s="134" t="s">
        <v>1998</v>
      </c>
      <c r="C3" s="134" t="s">
        <v>2462</v>
      </c>
    </row>
    <row r="4" spans="1:6">
      <c r="A4" s="125">
        <v>3</v>
      </c>
      <c r="B4" s="134" t="s">
        <v>1999</v>
      </c>
    </row>
    <row r="5" spans="1:6">
      <c r="A5" s="125">
        <v>4</v>
      </c>
      <c r="B5" s="134" t="s">
        <v>2000</v>
      </c>
    </row>
    <row r="6" spans="1:6">
      <c r="A6" s="125">
        <v>5</v>
      </c>
      <c r="B6" s="134" t="s">
        <v>2001</v>
      </c>
    </row>
    <row r="7" spans="1:6">
      <c r="A7" s="125">
        <v>6</v>
      </c>
      <c r="B7" s="134" t="s">
        <v>2002</v>
      </c>
    </row>
    <row r="8" spans="1:6">
      <c r="A8" s="125">
        <v>7</v>
      </c>
      <c r="B8" s="134" t="s">
        <v>2003</v>
      </c>
    </row>
    <row r="9" spans="1:6">
      <c r="A9" s="125">
        <v>8</v>
      </c>
      <c r="B9" s="134" t="s">
        <v>2004</v>
      </c>
    </row>
    <row r="10" spans="1:6">
      <c r="A10" s="125">
        <v>9</v>
      </c>
      <c r="B10" s="134" t="s">
        <v>2005</v>
      </c>
    </row>
    <row r="11" spans="1:6">
      <c r="A11" s="125">
        <v>10</v>
      </c>
      <c r="B11" s="134" t="s">
        <v>2006</v>
      </c>
    </row>
    <row r="12" spans="1:6">
      <c r="A12" s="125">
        <v>11</v>
      </c>
      <c r="B12" s="134" t="s">
        <v>2007</v>
      </c>
    </row>
    <row r="13" spans="1:6">
      <c r="A13" s="125">
        <v>12</v>
      </c>
      <c r="B13" s="134" t="s">
        <v>2008</v>
      </c>
    </row>
    <row r="14" spans="1:6">
      <c r="A14" s="125">
        <v>13</v>
      </c>
      <c r="B14" s="134" t="s">
        <v>2009</v>
      </c>
      <c r="C14" s="134" t="s">
        <v>2463</v>
      </c>
    </row>
    <row r="15" spans="1:6">
      <c r="A15" s="125">
        <v>14</v>
      </c>
      <c r="B15" s="134" t="s">
        <v>2010</v>
      </c>
      <c r="C15" s="134" t="s">
        <v>2464</v>
      </c>
    </row>
    <row r="16" spans="1:6">
      <c r="A16" s="125">
        <v>15</v>
      </c>
      <c r="B16" s="134" t="s">
        <v>2011</v>
      </c>
    </row>
    <row r="17" spans="1:3">
      <c r="A17" s="125">
        <v>16</v>
      </c>
      <c r="B17" s="134" t="s">
        <v>2012</v>
      </c>
    </row>
    <row r="18" spans="1:3">
      <c r="A18" s="125">
        <v>17</v>
      </c>
      <c r="B18" s="134" t="s">
        <v>2013</v>
      </c>
    </row>
    <row r="19" spans="1:3">
      <c r="A19" s="125">
        <v>18</v>
      </c>
      <c r="B19" s="134" t="s">
        <v>2014</v>
      </c>
    </row>
    <row r="20" spans="1:3">
      <c r="A20" s="125">
        <v>19</v>
      </c>
      <c r="B20" s="134" t="s">
        <v>2015</v>
      </c>
    </row>
    <row r="21" spans="1:3">
      <c r="A21" s="125">
        <v>20</v>
      </c>
      <c r="B21" s="134" t="s">
        <v>23</v>
      </c>
      <c r="C21" s="134" t="s">
        <v>2016</v>
      </c>
    </row>
    <row r="22" spans="1:3">
      <c r="A22" s="125">
        <v>21</v>
      </c>
      <c r="B22" s="134" t="s">
        <v>2017</v>
      </c>
      <c r="C22" s="134" t="s">
        <v>2016</v>
      </c>
    </row>
    <row r="23" spans="1:3">
      <c r="A23" s="125">
        <v>22</v>
      </c>
      <c r="B23" s="134" t="s">
        <v>2018</v>
      </c>
      <c r="C23" s="134" t="s">
        <v>2016</v>
      </c>
    </row>
    <row r="24" spans="1:3">
      <c r="A24" s="125">
        <v>23</v>
      </c>
      <c r="B24" s="134" t="s">
        <v>2019</v>
      </c>
      <c r="C24" s="134" t="s">
        <v>2016</v>
      </c>
    </row>
    <row r="25" spans="1:3">
      <c r="A25" s="125">
        <v>24</v>
      </c>
      <c r="B25" s="134" t="s">
        <v>2020</v>
      </c>
      <c r="C25" s="134" t="s">
        <v>2016</v>
      </c>
    </row>
    <row r="26" spans="1:3">
      <c r="A26" s="125">
        <v>25</v>
      </c>
      <c r="B26" s="134" t="s">
        <v>162</v>
      </c>
      <c r="C26" s="134" t="s">
        <v>2016</v>
      </c>
    </row>
    <row r="27" spans="1:3">
      <c r="A27" s="125">
        <v>26</v>
      </c>
      <c r="B27" s="134" t="s">
        <v>164</v>
      </c>
      <c r="C27" s="134" t="s">
        <v>2016</v>
      </c>
    </row>
    <row r="28" spans="1:3">
      <c r="A28" s="125">
        <v>27</v>
      </c>
      <c r="B28" s="134" t="s">
        <v>75</v>
      </c>
      <c r="C28" s="134" t="s">
        <v>2021</v>
      </c>
    </row>
    <row r="29" spans="1:3">
      <c r="A29" s="125">
        <v>28</v>
      </c>
      <c r="B29" s="134" t="s">
        <v>2022</v>
      </c>
      <c r="C29" s="134" t="s">
        <v>2023</v>
      </c>
    </row>
    <row r="30" spans="1:3">
      <c r="A30" s="125">
        <v>29</v>
      </c>
      <c r="B30" s="134" t="s">
        <v>380</v>
      </c>
      <c r="C30" s="134" t="s">
        <v>2024</v>
      </c>
    </row>
    <row r="31" spans="1:3">
      <c r="A31" s="125">
        <v>30</v>
      </c>
      <c r="B31" s="134" t="s">
        <v>92</v>
      </c>
      <c r="C31" s="134" t="s">
        <v>2016</v>
      </c>
    </row>
    <row r="32" spans="1:3">
      <c r="A32" s="125">
        <v>31</v>
      </c>
      <c r="B32" s="134" t="s">
        <v>79</v>
      </c>
      <c r="C32" s="134" t="s">
        <v>2016</v>
      </c>
    </row>
    <row r="33" spans="1:3">
      <c r="A33" s="125">
        <v>32</v>
      </c>
      <c r="B33" s="134" t="s">
        <v>2025</v>
      </c>
      <c r="C33" s="134" t="s">
        <v>2016</v>
      </c>
    </row>
    <row r="34" spans="1:3">
      <c r="A34" s="125">
        <v>33</v>
      </c>
      <c r="B34" s="134" t="s">
        <v>122</v>
      </c>
      <c r="C34" s="134" t="s">
        <v>2016</v>
      </c>
    </row>
    <row r="35" spans="1:3">
      <c r="A35" s="125">
        <v>34</v>
      </c>
      <c r="B35" s="134" t="s">
        <v>56</v>
      </c>
      <c r="C35" s="134" t="s">
        <v>2026</v>
      </c>
    </row>
    <row r="36" spans="1:3">
      <c r="A36" s="125">
        <v>35</v>
      </c>
      <c r="B36" s="134" t="s">
        <v>82</v>
      </c>
      <c r="C36" s="134" t="s">
        <v>2016</v>
      </c>
    </row>
    <row r="37" spans="1:3">
      <c r="A37" s="125">
        <v>36</v>
      </c>
      <c r="B37" s="134" t="s">
        <v>61</v>
      </c>
      <c r="C37" s="134" t="s">
        <v>2016</v>
      </c>
    </row>
    <row r="38" spans="1:3">
      <c r="A38" s="125">
        <v>37</v>
      </c>
      <c r="B38" s="134" t="s">
        <v>37</v>
      </c>
      <c r="C38" s="134" t="s">
        <v>2027</v>
      </c>
    </row>
    <row r="39" spans="1:3">
      <c r="A39" s="125">
        <v>38</v>
      </c>
      <c r="B39" s="134" t="s">
        <v>109</v>
      </c>
      <c r="C39" s="134" t="s">
        <v>2028</v>
      </c>
    </row>
    <row r="40" spans="1:3">
      <c r="A40" s="125">
        <v>39</v>
      </c>
      <c r="B40" s="134" t="s">
        <v>285</v>
      </c>
      <c r="C40" s="134" t="s">
        <v>2016</v>
      </c>
    </row>
    <row r="41" spans="1:3">
      <c r="A41" s="125">
        <v>40</v>
      </c>
      <c r="B41" s="134" t="s">
        <v>10</v>
      </c>
      <c r="C41" s="134" t="s">
        <v>2016</v>
      </c>
    </row>
    <row r="42" spans="1:3">
      <c r="A42" s="125">
        <v>41</v>
      </c>
      <c r="B42" s="134" t="s">
        <v>18</v>
      </c>
      <c r="C42" s="134" t="s">
        <v>2016</v>
      </c>
    </row>
    <row r="43" spans="1:3" ht="82.5">
      <c r="A43" s="125">
        <v>42</v>
      </c>
      <c r="B43" s="134" t="s">
        <v>119</v>
      </c>
      <c r="C43" s="150" t="s">
        <v>2029</v>
      </c>
    </row>
  </sheetData>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E50E-C70D-4C43-A2A4-C835D4601216}">
  <sheetPr>
    <tabColor theme="4" tint="-0.499984740745262"/>
    <pageSetUpPr autoPageBreaks="0" fitToPage="1"/>
  </sheetPr>
  <dimension ref="A1:K14"/>
  <sheetViews>
    <sheetView showGridLines="0" topLeftCell="A2" zoomScale="110" zoomScaleNormal="100" workbookViewId="0">
      <selection activeCell="K6" sqref="K6"/>
    </sheetView>
  </sheetViews>
  <sheetFormatPr defaultColWidth="8.5" defaultRowHeight="16.5"/>
  <cols>
    <col min="1" max="1" width="2.5" style="65" customWidth="1"/>
    <col min="2" max="2" width="17.875" style="65" customWidth="1"/>
    <col min="3" max="8" width="17.375" style="65" customWidth="1"/>
    <col min="9" max="9" width="2.5" style="65" customWidth="1"/>
    <col min="10" max="10" width="16" style="65" customWidth="1"/>
    <col min="11" max="11" width="13.5" style="65" customWidth="1"/>
    <col min="12" max="16384" width="8.5" style="65"/>
  </cols>
  <sheetData>
    <row r="1" spans="1:11" s="68" customFormat="1" ht="60" customHeight="1">
      <c r="A1" s="65"/>
      <c r="B1" s="407" t="str">
        <f>달력연도&amp;"년"&amp;" 1월"</f>
        <v>2025년 1월</v>
      </c>
      <c r="C1" s="407"/>
      <c r="D1" s="407"/>
      <c r="E1" s="66"/>
      <c r="F1" s="66"/>
      <c r="G1" s="66"/>
      <c r="H1" s="67"/>
      <c r="J1" s="408" t="s">
        <v>2030</v>
      </c>
      <c r="K1" s="408"/>
    </row>
    <row r="2" spans="1:11" s="73" customFormat="1" ht="21.75" customHeight="1" thickBot="1">
      <c r="A2" s="65"/>
      <c r="B2" s="83" t="str">
        <f>주시작</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c r="I2" s="70"/>
      <c r="J2" s="71" t="s">
        <v>2031</v>
      </c>
      <c r="K2" s="72">
        <v>2025</v>
      </c>
    </row>
    <row r="3" spans="1:11" s="75" customFormat="1" ht="19.5" customHeight="1" thickBot="1">
      <c r="A3" s="65"/>
      <c r="B3" s="74">
        <f t="array" ref="B3:H3">요일및주+DATE(달력연도,1,1)-WEEKDAY(DATE(달력연도,1,1),(주시작="월요일")+1)+1</f>
        <v>45655</v>
      </c>
      <c r="C3" s="74">
        <v>45656</v>
      </c>
      <c r="D3" s="74">
        <v>45657</v>
      </c>
      <c r="E3" s="87">
        <v>45658</v>
      </c>
      <c r="F3" s="74">
        <v>45659</v>
      </c>
      <c r="G3" s="74">
        <v>45660</v>
      </c>
      <c r="H3" s="84">
        <v>45661</v>
      </c>
      <c r="J3" s="71" t="s">
        <v>2032</v>
      </c>
      <c r="K3" s="76" t="s">
        <v>2033</v>
      </c>
    </row>
    <row r="4" spans="1:11" ht="106.5" customHeight="1">
      <c r="E4" s="96" t="s">
        <v>2034</v>
      </c>
      <c r="F4" s="103" t="s">
        <v>2035</v>
      </c>
      <c r="G4" s="103" t="s">
        <v>2036</v>
      </c>
      <c r="J4" s="99" t="s">
        <v>2037</v>
      </c>
    </row>
    <row r="5" spans="1:11" s="75" customFormat="1" ht="19.5" customHeight="1" thickBot="1">
      <c r="A5" s="65"/>
      <c r="B5" s="86">
        <f t="array" ref="B5:H5">요일및주+DATE(달력연도,1,1)-WEEKDAY(DATE(달력연도,1,1),(주시작="월요일")+1)+8</f>
        <v>45662</v>
      </c>
      <c r="C5" s="77">
        <v>45663</v>
      </c>
      <c r="D5" s="77">
        <v>45664</v>
      </c>
      <c r="E5" s="77">
        <v>45665</v>
      </c>
      <c r="F5" s="77">
        <v>45666</v>
      </c>
      <c r="G5" s="77">
        <v>45667</v>
      </c>
      <c r="H5" s="85">
        <v>45668</v>
      </c>
      <c r="J5" s="100" t="s">
        <v>2038</v>
      </c>
    </row>
    <row r="6" spans="1:11" ht="101.45" customHeight="1">
      <c r="B6" s="360"/>
      <c r="C6" s="92" t="s">
        <v>2039</v>
      </c>
      <c r="D6" s="92" t="s">
        <v>2040</v>
      </c>
      <c r="E6" s="92" t="s">
        <v>2041</v>
      </c>
      <c r="F6" s="118" t="s">
        <v>2042</v>
      </c>
      <c r="G6" s="92" t="s">
        <v>2043</v>
      </c>
      <c r="H6" s="360"/>
      <c r="J6" s="78" t="s">
        <v>2044</v>
      </c>
    </row>
    <row r="7" spans="1:11" s="75" customFormat="1" ht="19.5" customHeight="1">
      <c r="A7" s="65"/>
      <c r="B7" s="87">
        <f t="array" ref="B7:H7">요일및주+DATE(달력연도,1,1)-WEEKDAY(DATE(달력연도,1,1),(주시작="월요일")+1)+15</f>
        <v>45669</v>
      </c>
      <c r="C7" s="74">
        <v>45670</v>
      </c>
      <c r="D7" s="74">
        <v>45671</v>
      </c>
      <c r="E7" s="74">
        <v>45672</v>
      </c>
      <c r="F7" s="74">
        <v>45673</v>
      </c>
      <c r="G7" s="74">
        <v>45674</v>
      </c>
      <c r="H7" s="84">
        <v>45675</v>
      </c>
      <c r="J7" s="78"/>
    </row>
    <row r="8" spans="1:11" ht="57.95" customHeight="1">
      <c r="C8" s="147" t="s">
        <v>2045</v>
      </c>
      <c r="D8" s="148" t="s">
        <v>2046</v>
      </c>
      <c r="E8" s="148" t="s">
        <v>2047</v>
      </c>
      <c r="F8" s="148"/>
      <c r="G8" s="148" t="s">
        <v>2048</v>
      </c>
    </row>
    <row r="9" spans="1:11" s="75" customFormat="1" ht="19.5" customHeight="1">
      <c r="A9" s="65"/>
      <c r="B9" s="86">
        <f t="array" ref="B9:H9">요일및주+DATE(달력연도,1,1)-WEEKDAY(DATE(달력연도,1,1),(주시작="월요일")+1)+22</f>
        <v>45676</v>
      </c>
      <c r="C9" s="77">
        <v>45677</v>
      </c>
      <c r="D9" s="77">
        <v>45678</v>
      </c>
      <c r="E9" s="77">
        <v>45679</v>
      </c>
      <c r="F9" s="77">
        <v>45680</v>
      </c>
      <c r="G9" s="77">
        <v>45681</v>
      </c>
      <c r="H9" s="85">
        <v>45682</v>
      </c>
    </row>
    <row r="10" spans="1:11" ht="57.95" customHeight="1">
      <c r="B10" s="360"/>
      <c r="C10" s="118"/>
      <c r="D10" s="101"/>
      <c r="E10" s="92" t="s">
        <v>2049</v>
      </c>
      <c r="F10" s="178" t="s">
        <v>2050</v>
      </c>
      <c r="G10" s="93" t="s">
        <v>2051</v>
      </c>
      <c r="H10" s="360"/>
    </row>
    <row r="11" spans="1:11" s="75" customFormat="1" ht="19.5" customHeight="1">
      <c r="A11" s="65"/>
      <c r="B11" s="87">
        <f t="array" ref="B11:H11">요일및주+DATE(달력연도,1,1)-WEEKDAY(DATE(달력연도,1,1),(주시작="월요일")+1)+29</f>
        <v>45683</v>
      </c>
      <c r="C11" s="87">
        <v>45684</v>
      </c>
      <c r="D11" s="87">
        <v>45685</v>
      </c>
      <c r="E11" s="87">
        <v>45686</v>
      </c>
      <c r="F11" s="87">
        <v>45687</v>
      </c>
      <c r="G11" s="74">
        <v>45688</v>
      </c>
      <c r="H11" s="74">
        <v>45689</v>
      </c>
    </row>
    <row r="12" spans="1:11" ht="57.95" customHeight="1">
      <c r="C12" s="137" t="s">
        <v>2052</v>
      </c>
      <c r="D12" s="137" t="s">
        <v>2053</v>
      </c>
      <c r="E12" s="96" t="s">
        <v>2054</v>
      </c>
      <c r="F12" s="96" t="s">
        <v>2053</v>
      </c>
    </row>
    <row r="13" spans="1:11" s="75" customFormat="1" ht="19.5" customHeight="1">
      <c r="A13" s="65"/>
      <c r="B13" s="77">
        <f t="array" ref="B13:C13">요일및주+DATE(달력연도,1,1)-WEEKDAY(DATE(달력연도,1,1),(주시작="월요일")+1)+36</f>
        <v>45690</v>
      </c>
      <c r="C13" s="77">
        <v>45691</v>
      </c>
      <c r="D13" s="361" t="s">
        <v>2055</v>
      </c>
      <c r="E13" s="367"/>
      <c r="F13" s="367"/>
      <c r="G13" s="367"/>
      <c r="H13" s="367"/>
    </row>
    <row r="14" spans="1:11" ht="57.95" customHeight="1">
      <c r="B14" s="360"/>
      <c r="D14" s="360"/>
      <c r="E14" s="367"/>
      <c r="F14" s="367"/>
      <c r="G14" s="367"/>
      <c r="H14" s="367"/>
    </row>
  </sheetData>
  <mergeCells count="3">
    <mergeCell ref="B1:D1"/>
    <mergeCell ref="J1:K1"/>
    <mergeCell ref="E13:H14"/>
  </mergeCells>
  <phoneticPr fontId="11" type="noConversion"/>
  <conditionalFormatting sqref="B3:G3">
    <cfRule type="expression" dxfId="21" priority="1">
      <formula>DAY(B3)&gt;8</formula>
    </cfRule>
  </conditionalFormatting>
  <conditionalFormatting sqref="B11:H11 B13:C13">
    <cfRule type="expression" dxfId="20" priority="2">
      <formula>AND(DAY(B11)&gt;=1,DAY(B11)&lt;=15)</formula>
    </cfRule>
  </conditionalFormatting>
  <dataValidations count="13">
    <dataValidation type="list" errorStyle="warning" allowBlank="1" showInputMessage="1" showErrorMessage="1" error="목록에서 요일을 선택합니다. 취소를 선택한 다음 Alt+아래쪽 화살표를 눌러 드롭다운 목록에서 요일을 선택합니다." prompt="이 셀에서 주 시작 요일을 선택합니다. Alt+아래쪽 화살표를 눌러 드롭다운 목록을 연 다음, 아래쪽 화살표 키를 누르고 Enter 키를 눌러 항목을 선택합니다." sqref="K3" xr:uid="{8990D89E-1C45-7C4D-ACCD-0D36545651BC}">
      <formula1>"일요일,월요일"</formula1>
    </dataValidation>
    <dataValidation allowBlank="1" showInputMessage="1" showErrorMessage="1" prompt="이 통합 문서에서 사용자 지정 1개월 달력을 만듭니다. 이 1월 워크시트를 사용하여 모든 달에 대한 연도와 주 시작 요일을 사용자 지정합니다. 각 달은 별도의 워크시트에 있습니다." sqref="A1" xr:uid="{F15A05ED-5E1E-4547-9AAB-5AD8DADF7FDC}"/>
    <dataValidation allowBlank="1" showInputMessage="1" showErrorMessage="1" prompt="연도를 입력하고 아래 셀에서 달력 시작 요일을 선택합니다. 이 일정 설정 셀은 인쇄되지 않습니다." sqref="J1:K1" xr:uid="{C09D3A90-FB15-2C4D-AC2B-DB8AF6690754}"/>
    <dataValidation allowBlank="1" showInputMessage="1" showErrorMessage="1" prompt="오른쪽 셀에 연도를 입력합니다." sqref="J2" xr:uid="{8F96F1FE-4DC0-CE44-BA23-F9486BB95EA8}"/>
    <dataValidation allowBlank="1" showInputMessage="1" showErrorMessage="1" prompt="오른쪽 셀에 주 시작 요일을 선택합니다." sqref="J3" xr:uid="{415C3EC5-4E37-F845-888B-37685C095A20}"/>
    <dataValidation allowBlank="1" showInputMessage="1" showErrorMessage="1" prompt="이 셀에 연도를 입력합니다." sqref="K2" xr:uid="{2946AE74-1983-FA41-8048-CA35D73CF627}"/>
    <dataValidation allowBlank="1" showInputMessage="1" showErrorMessage="1" prompt="이 행에는 이 달력의 요일 이름이 표시됩니다. 이 셀에는 주의 시작 요일이 표시됩니다. 시작 요일을 변경하려면 워크시트의 셀 K3에 새 요일을 입력하세요." sqref="B2" xr:uid="{9858BF13-F440-1541-8F9D-97608A5FAE25}"/>
    <dataValidation allowBlank="1" showInputMessage="1" showErrorMessage="1" prompt="이 셀의 연도는 K2 셀에 입력한 연도에 따라 자동으로 업데이트됩니다. 아래 일정에는 이전 달과 다음 달의 날짜가 연한 글꼴 음영으로 표시됩니다." sqref="B1:D1" xr:uid="{5D4A877C-4440-C74D-9D3E-C632CFD605AB}"/>
    <dataValidation allowBlank="1" showInputMessage="1" showErrorMessage="1" prompt="자동으로 결정된 평일입니다." sqref="C2:H2" xr:uid="{641BDCE3-43A3-2440-BB39-6F23216FA692}"/>
    <dataValidation allowBlank="1" showInputMessage="1" showErrorMessage="1" prompt="이 행과 6, 8, 10, 12, 14 행은 위의 셀에 있는 날짜와 관련된 일별 메모를 입력하는 셀입니다." sqref="B4" xr:uid="{20F7E3B1-A5CA-A447-94C2-DD4271D2AE6A}"/>
    <dataValidation allowBlank="1" showInputMessage="1" showErrorMessage="1" prompt="이 셀에 메모를 입력합니다." sqref="E13:H14" xr:uid="{88E3CE8A-9C7F-6B4A-88FF-26ED34B4199D}"/>
    <dataValidation allowBlank="1" showInputMessage="1" showErrorMessage="1" prompt="오른쪽 셀에 메모를 입력합니다." sqref="D13:D14" xr:uid="{5FBD4B4D-2B9B-4D4B-A2B9-AA08737FAB58}"/>
    <dataValidation allowBlank="1" showInputMessage="1" showErrorMessage="1" prompt="이 행과 5, 7, 9, 11, 13행에는 해당 주의 날짜가 표시됩니다. 이 셀에 숫자 1이 없는 경우에는 이전 달의 날짜가 표시됩니다. E13 셀에 메모를 입력합니다." sqref="B3" xr:uid="{BF1B9114-A6EE-E34B-9E17-6CCE4F3D14F8}"/>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8482-8211-47B4-AD87-A1BA1D23B0D9}">
  <sheetPr>
    <tabColor theme="4" tint="-0.249977111117893"/>
    <pageSetUpPr fitToPage="1"/>
  </sheetPr>
  <dimension ref="A1:J14"/>
  <sheetViews>
    <sheetView showGridLines="0" topLeftCell="A7" workbookViewId="0">
      <selection activeCell="I10" sqref="I10"/>
    </sheetView>
  </sheetViews>
  <sheetFormatPr defaultColWidth="8.5" defaultRowHeight="16.5"/>
  <cols>
    <col min="1" max="1" width="2.5" style="65" customWidth="1"/>
    <col min="2" max="2" width="17.875" style="65" customWidth="1"/>
    <col min="3" max="3" width="21.375" style="65" customWidth="1"/>
    <col min="4" max="8" width="17.375" style="65" customWidth="1"/>
    <col min="9" max="9" width="2.5" style="65" customWidth="1"/>
    <col min="10" max="10" width="16.375" style="65" customWidth="1"/>
    <col min="11" max="16384" width="8.5" style="65"/>
  </cols>
  <sheetData>
    <row r="1" spans="1:10" s="68" customFormat="1" ht="60" customHeight="1">
      <c r="A1" s="65"/>
      <c r="B1" s="365" t="str">
        <f>달력연도&amp;"년"&amp;" 2월"</f>
        <v>2025년 2월</v>
      </c>
      <c r="C1" s="365"/>
      <c r="D1" s="365"/>
      <c r="E1" s="66"/>
      <c r="F1" s="66"/>
      <c r="G1" s="66"/>
      <c r="H1" s="79"/>
    </row>
    <row r="2" spans="1:10" s="73"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0" s="75" customFormat="1" ht="19.5" customHeight="1">
      <c r="A3" s="65"/>
      <c r="B3" s="74">
        <f t="array" ref="B3:H3">요일및주+DATE(달력연도,2,1)-WEEKDAY(DATE(달력연도,2,1),(주시작="월요일")+1)+1</f>
        <v>45683</v>
      </c>
      <c r="C3" s="74">
        <v>45684</v>
      </c>
      <c r="D3" s="74">
        <v>45685</v>
      </c>
      <c r="E3" s="74">
        <v>45686</v>
      </c>
      <c r="F3" s="74">
        <v>45687</v>
      </c>
      <c r="G3" s="74">
        <v>45688</v>
      </c>
      <c r="H3" s="84">
        <v>45689</v>
      </c>
    </row>
    <row r="4" spans="1:10" ht="69.75" customHeight="1">
      <c r="G4" s="104"/>
      <c r="J4" s="327" t="s">
        <v>2056</v>
      </c>
    </row>
    <row r="5" spans="1:10" s="75" customFormat="1" ht="19.5" customHeight="1">
      <c r="A5" s="65"/>
      <c r="B5" s="88">
        <f t="array" ref="B5:H5">요일및주+DATE(달력연도,2,1)-WEEKDAY(DATE(달력연도,2,1),(주시작="월요일")+1)+8</f>
        <v>45690</v>
      </c>
      <c r="C5" s="80">
        <v>45691</v>
      </c>
      <c r="D5" s="80">
        <v>45692</v>
      </c>
      <c r="E5" s="80">
        <v>45693</v>
      </c>
      <c r="F5" s="80">
        <v>45694</v>
      </c>
      <c r="G5" s="141">
        <v>45695</v>
      </c>
      <c r="H5" s="140">
        <v>45696</v>
      </c>
      <c r="J5" s="328" t="s">
        <v>2038</v>
      </c>
    </row>
    <row r="6" spans="1:10" ht="114" customHeight="1">
      <c r="B6" s="360"/>
      <c r="C6" s="92" t="s">
        <v>2057</v>
      </c>
      <c r="D6" s="92" t="s">
        <v>2058</v>
      </c>
      <c r="E6" s="92" t="s">
        <v>2059</v>
      </c>
      <c r="F6" s="92" t="s">
        <v>2060</v>
      </c>
      <c r="G6" s="101" t="s">
        <v>2061</v>
      </c>
      <c r="H6" s="121"/>
      <c r="J6" s="326" t="s">
        <v>2062</v>
      </c>
    </row>
    <row r="7" spans="1:10" s="75" customFormat="1" ht="19.5" customHeight="1">
      <c r="A7" s="65"/>
      <c r="B7" s="87">
        <f t="array" ref="B7:H7">요일및주+DATE(달력연도,2,1)-WEEKDAY(DATE(달력연도,2,1),(주시작="월요일")+1)+15</f>
        <v>45697</v>
      </c>
      <c r="C7" s="139">
        <v>45698</v>
      </c>
      <c r="D7" s="74">
        <v>45699</v>
      </c>
      <c r="E7" s="74">
        <v>45700</v>
      </c>
      <c r="F7" s="74">
        <v>45701</v>
      </c>
      <c r="G7" s="74">
        <v>45702</v>
      </c>
      <c r="H7" s="84">
        <v>45703</v>
      </c>
    </row>
    <row r="8" spans="1:10" ht="105" customHeight="1">
      <c r="B8" s="138"/>
      <c r="C8" s="201" t="s">
        <v>2063</v>
      </c>
      <c r="D8" s="120" t="s">
        <v>2064</v>
      </c>
      <c r="E8" s="103" t="s">
        <v>2065</v>
      </c>
      <c r="F8" s="148" t="s">
        <v>2066</v>
      </c>
      <c r="G8" s="148" t="s">
        <v>2067</v>
      </c>
    </row>
    <row r="9" spans="1:10" s="75" customFormat="1" ht="19.5" customHeight="1">
      <c r="A9" s="65"/>
      <c r="B9" s="88">
        <f t="array" ref="B9:H9">요일및주+DATE(달력연도,2,1)-WEEKDAY(DATE(달력연도,2,1),(주시작="월요일")+1)+22</f>
        <v>45704</v>
      </c>
      <c r="C9" s="80">
        <v>45705</v>
      </c>
      <c r="D9" s="80">
        <v>45706</v>
      </c>
      <c r="E9" s="80">
        <v>45707</v>
      </c>
      <c r="F9" s="80">
        <v>45708</v>
      </c>
      <c r="G9" s="80">
        <v>45709</v>
      </c>
      <c r="H9" s="90">
        <v>45710</v>
      </c>
    </row>
    <row r="10" spans="1:10" ht="103.5" customHeight="1">
      <c r="B10" s="360"/>
      <c r="C10" s="118" t="s">
        <v>2068</v>
      </c>
      <c r="D10" s="92" t="s">
        <v>2069</v>
      </c>
      <c r="E10" s="92" t="s">
        <v>2070</v>
      </c>
      <c r="F10" s="118" t="s">
        <v>2071</v>
      </c>
      <c r="G10" s="329" t="s">
        <v>2072</v>
      </c>
      <c r="H10" s="360"/>
    </row>
    <row r="11" spans="1:10" s="75" customFormat="1" ht="19.5" customHeight="1">
      <c r="A11" s="65"/>
      <c r="B11" s="87">
        <f t="array" ref="B11:H11">요일및주+DATE(달력연도,2,1)-WEEKDAY(DATE(달력연도,2,1),(주시작="월요일")+1)+29</f>
        <v>45711</v>
      </c>
      <c r="C11" s="74">
        <v>45712</v>
      </c>
      <c r="D11" s="74">
        <v>45713</v>
      </c>
      <c r="E11" s="74">
        <v>45714</v>
      </c>
      <c r="F11" s="74">
        <v>45715</v>
      </c>
      <c r="G11" s="74">
        <v>45716</v>
      </c>
      <c r="H11" s="74">
        <v>45717</v>
      </c>
    </row>
    <row r="12" spans="1:10" ht="57.95" customHeight="1">
      <c r="C12" s="303" t="s">
        <v>2073</v>
      </c>
      <c r="D12" s="326" t="s">
        <v>2072</v>
      </c>
      <c r="E12" s="148" t="s">
        <v>2074</v>
      </c>
      <c r="F12" s="326" t="s">
        <v>2072</v>
      </c>
      <c r="G12" s="326" t="s">
        <v>2072</v>
      </c>
    </row>
    <row r="13" spans="1:10" s="75" customFormat="1" ht="19.5" customHeight="1">
      <c r="A13" s="65"/>
      <c r="B13" s="80">
        <f t="array" ref="B13:C13">요일및주+DATE(달력연도,2,1)-WEEKDAY(DATE(달력연도,2,1),(주시작="월요일")+1)+36</f>
        <v>45718</v>
      </c>
      <c r="C13" s="80">
        <v>45719</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19" priority="1">
      <formula>DAY(B3)&gt;8</formula>
    </cfRule>
  </conditionalFormatting>
  <conditionalFormatting sqref="B11:H11 B13:C13">
    <cfRule type="expression" dxfId="18" priority="2">
      <formula>AND(DAY(B11)&gt;=1,DAY(B11)&lt;=15)</formula>
    </cfRule>
  </conditionalFormatting>
  <dataValidations count="8">
    <dataValidation allowBlank="1" showInputMessage="1" showErrorMessage="1" prompt="자동으로 결정된 평일입니다." sqref="C2:H2" xr:uid="{A2246A82-038E-3040-BA7E-782F6F3E426F}"/>
    <dataValidation allowBlank="1" showInputMessage="1" showErrorMessage="1" prompt="이 셀의 연도는 1월 워크시트에 입력한 연도에 따라 자동으로 업데이트됩니다. 아래 일정에는 이전 달과 다음 달의 날짜가 연한 글꼴 음영으로 표시됩니다." sqref="B1:D1" xr:uid="{CF46A5EB-4C5C-A244-A6FA-24FED4916F6F}"/>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25ED1818-50BA-8740-9277-B62036835FB6}"/>
    <dataValidation allowBlank="1" showInputMessage="1" showErrorMessage="1" prompt="2월 한 달 일정" sqref="A1" xr:uid="{27FBD442-3534-4942-AB54-392598BA9877}"/>
    <dataValidation allowBlank="1" showInputMessage="1" showErrorMessage="1" prompt="오른쪽 셀에 메모를 입력합니다." sqref="D13:D14" xr:uid="{386E8A96-1AE6-4143-9939-E6D7ACA90547}"/>
    <dataValidation allowBlank="1" showInputMessage="1" showErrorMessage="1" prompt="이 셀에 메모를 입력합니다." sqref="E13:H14" xr:uid="{04A05E3E-FECB-6849-A87A-C11103505C68}"/>
    <dataValidation allowBlank="1" showInputMessage="1" showErrorMessage="1" prompt="이 행과 6, 8, 10, 12, 14 행은 위의 셀에 있는 날짜와 관련된 일별 메모를 입력하는 셀입니다." sqref="B4" xr:uid="{53F39D02-33D5-0D44-971C-026DC67B9730}"/>
    <dataValidation allowBlank="1" showInputMessage="1" showErrorMessage="1" prompt="이 행과 5, 7, 9, 11, 13행에는 해당 주의 날짜가 표시됩니다. 이 셀에 숫자 1이 없는 경우에는 이전 달의 날짜가 표시됩니다. E13 셀에 메모를 입력합니다." sqref="B3" xr:uid="{D8F8F137-5EE1-0F4C-9F3B-8FCB41275844}"/>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FEE0-0D23-4EA6-BC8F-68CEF4330E6E}">
  <sheetPr>
    <tabColor theme="4"/>
    <pageSetUpPr fitToPage="1"/>
  </sheetPr>
  <dimension ref="A1:L14"/>
  <sheetViews>
    <sheetView showGridLines="0" topLeftCell="A4" workbookViewId="0">
      <selection activeCell="H8" sqref="H8"/>
    </sheetView>
  </sheetViews>
  <sheetFormatPr defaultColWidth="8.5" defaultRowHeight="16.5"/>
  <cols>
    <col min="1" max="1" width="2.5" style="65" customWidth="1"/>
    <col min="2" max="2" width="17.875" style="65" customWidth="1"/>
    <col min="3" max="4" width="17.375" style="65" customWidth="1"/>
    <col min="5" max="5" width="21" style="65" customWidth="1"/>
    <col min="6" max="6" width="20.125" style="65" customWidth="1"/>
    <col min="7" max="7" width="21" style="65" customWidth="1"/>
    <col min="8" max="8" width="17.375" style="65" customWidth="1"/>
    <col min="9" max="9" width="2.5" style="65" customWidth="1"/>
    <col min="10" max="10" width="16.5" style="65" customWidth="1"/>
    <col min="11" max="16384" width="8.5" style="65"/>
  </cols>
  <sheetData>
    <row r="1" spans="1:12" ht="60" customHeight="1">
      <c r="B1" s="365" t="str">
        <f>달력연도&amp;"년"&amp;" 3월"</f>
        <v>2025년 3월</v>
      </c>
      <c r="C1" s="365"/>
      <c r="D1" s="365"/>
      <c r="E1" s="66"/>
      <c r="F1" s="66"/>
      <c r="G1" s="66"/>
      <c r="H1" s="79"/>
    </row>
    <row r="2" spans="1:12"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2" ht="19.5" customHeight="1">
      <c r="B3" s="74">
        <f t="array" ref="B3:H3">요일및주+DATE(달력연도,3,1)-WEEKDAY(DATE(달력연도,3,1),(주시작="월요일")+1)+1</f>
        <v>45711</v>
      </c>
      <c r="C3" s="74">
        <v>45712</v>
      </c>
      <c r="D3" s="74">
        <v>45713</v>
      </c>
      <c r="E3" s="74">
        <v>45714</v>
      </c>
      <c r="F3" s="74">
        <v>45715</v>
      </c>
      <c r="G3" s="87">
        <v>45716</v>
      </c>
      <c r="H3" s="87">
        <v>45717</v>
      </c>
    </row>
    <row r="4" spans="1:12" ht="67.5" customHeight="1">
      <c r="G4" s="142"/>
      <c r="H4" s="96" t="s">
        <v>2075</v>
      </c>
      <c r="J4" s="327" t="s">
        <v>2056</v>
      </c>
    </row>
    <row r="5" spans="1:12" ht="19.5" customHeight="1">
      <c r="B5" s="88">
        <f t="array" ref="B5:H5">요일및주+DATE(달력연도,3,1)-WEEKDAY(DATE(달력연도,3,1),(주시작="월요일")+1)+8</f>
        <v>45718</v>
      </c>
      <c r="C5" s="88">
        <v>45719</v>
      </c>
      <c r="D5" s="80">
        <v>45720</v>
      </c>
      <c r="E5" s="80">
        <v>45721</v>
      </c>
      <c r="F5" s="80">
        <v>45722</v>
      </c>
      <c r="G5" s="80">
        <v>45723</v>
      </c>
      <c r="H5" s="90">
        <v>45724</v>
      </c>
      <c r="J5" s="328" t="s">
        <v>2038</v>
      </c>
    </row>
    <row r="6" spans="1:12" ht="105.6" customHeight="1">
      <c r="B6" s="360"/>
      <c r="C6" s="96" t="s">
        <v>2076</v>
      </c>
      <c r="D6" s="92" t="s">
        <v>2077</v>
      </c>
      <c r="E6" s="118" t="s">
        <v>2078</v>
      </c>
      <c r="F6" s="304" t="s">
        <v>2079</v>
      </c>
      <c r="G6" s="92" t="s">
        <v>2080</v>
      </c>
      <c r="H6" s="360"/>
      <c r="J6" s="326" t="s">
        <v>2062</v>
      </c>
    </row>
    <row r="7" spans="1:12" ht="19.5" customHeight="1">
      <c r="B7" s="87">
        <f t="array" ref="B7:H7">요일및주+DATE(달력연도,3,1)-WEEKDAY(DATE(달력연도,3,1),(주시작="월요일")+1)+15</f>
        <v>45725</v>
      </c>
      <c r="C7" s="74">
        <v>45726</v>
      </c>
      <c r="D7" s="74">
        <v>45727</v>
      </c>
      <c r="E7" s="74">
        <v>45728</v>
      </c>
      <c r="F7" s="74">
        <v>45729</v>
      </c>
      <c r="G7" s="74">
        <v>45730</v>
      </c>
      <c r="H7" s="84">
        <v>45731</v>
      </c>
      <c r="L7" s="114"/>
    </row>
    <row r="8" spans="1:12" ht="87" customHeight="1">
      <c r="C8" s="148" t="s">
        <v>2081</v>
      </c>
      <c r="D8" s="148" t="s">
        <v>2082</v>
      </c>
      <c r="E8" s="148" t="s">
        <v>2083</v>
      </c>
      <c r="F8" s="148" t="s">
        <v>2084</v>
      </c>
      <c r="G8" s="148" t="s">
        <v>2085</v>
      </c>
    </row>
    <row r="9" spans="1:12" ht="19.5" customHeight="1">
      <c r="B9" s="88">
        <f t="array" ref="B9:H9">요일및주+DATE(달력연도,3,1)-WEEKDAY(DATE(달력연도,3,1),(주시작="월요일")+1)+22</f>
        <v>45732</v>
      </c>
      <c r="C9" s="80">
        <v>45733</v>
      </c>
      <c r="D9" s="80">
        <v>45734</v>
      </c>
      <c r="E9" s="80">
        <v>45735</v>
      </c>
      <c r="F9" s="80">
        <v>45736</v>
      </c>
      <c r="G9" s="80">
        <v>45737</v>
      </c>
      <c r="H9" s="90">
        <v>45738</v>
      </c>
    </row>
    <row r="10" spans="1:12" ht="101.1" customHeight="1">
      <c r="B10" s="360"/>
      <c r="C10" s="118" t="s">
        <v>2086</v>
      </c>
      <c r="D10" s="118" t="s">
        <v>2087</v>
      </c>
      <c r="E10" s="118" t="s">
        <v>2088</v>
      </c>
      <c r="F10" s="118" t="s">
        <v>2089</v>
      </c>
      <c r="G10" s="118" t="s">
        <v>2090</v>
      </c>
      <c r="H10" s="360"/>
    </row>
    <row r="11" spans="1:12" ht="19.5" customHeight="1">
      <c r="B11" s="87">
        <f t="array" ref="B11:H11">요일및주+DATE(달력연도,3,1)-WEEKDAY(DATE(달력연도,3,1),(주시작="월요일")+1)+29</f>
        <v>45739</v>
      </c>
      <c r="C11" s="74">
        <v>45740</v>
      </c>
      <c r="D11" s="74">
        <v>45741</v>
      </c>
      <c r="E11" s="74">
        <v>45742</v>
      </c>
      <c r="F11" s="74">
        <v>45743</v>
      </c>
      <c r="G11" s="74">
        <v>45744</v>
      </c>
      <c r="H11" s="84">
        <v>45745</v>
      </c>
    </row>
    <row r="12" spans="1:12" ht="96.75" customHeight="1">
      <c r="C12" s="148" t="s">
        <v>2091</v>
      </c>
      <c r="D12" s="148" t="s">
        <v>2092</v>
      </c>
      <c r="E12" s="103" t="s">
        <v>2093</v>
      </c>
      <c r="F12" s="98" t="s">
        <v>2094</v>
      </c>
      <c r="G12" s="103" t="s">
        <v>2095</v>
      </c>
    </row>
    <row r="13" spans="1:12" ht="19.5" customHeight="1">
      <c r="B13" s="88">
        <f t="array" ref="B13:C13">요일및주+DATE(달력연도,3,1)-WEEKDAY(DATE(달력연도,3,1),(주시작="월요일")+1)+36</f>
        <v>45746</v>
      </c>
      <c r="C13" s="80">
        <v>45747</v>
      </c>
      <c r="D13" s="366" t="s">
        <v>2055</v>
      </c>
      <c r="E13" s="367"/>
      <c r="F13" s="367"/>
      <c r="G13" s="367"/>
      <c r="H13" s="367"/>
    </row>
    <row r="14" spans="1:12"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17" priority="1">
      <formula>DAY(B3)&gt;8</formula>
    </cfRule>
  </conditionalFormatting>
  <conditionalFormatting sqref="B11:H11 B13:C13">
    <cfRule type="expression" dxfId="16" priority="2">
      <formula>AND(DAY(B11)&gt;=1,DAY(B11)&lt;=15)</formula>
    </cfRule>
  </conditionalFormatting>
  <dataValidations count="8">
    <dataValidation allowBlank="1" showInputMessage="1" showErrorMessage="1" prompt="이 행과 6, 8, 10, 12, 14 행은 위의 셀에 있는 날짜와 관련된 일별 메모를 입력하는 셀입니다." sqref="B4" xr:uid="{4500C3EB-34E8-3649-B8C0-7B54A8FE1C31}"/>
    <dataValidation allowBlank="1" showInputMessage="1" showErrorMessage="1" prompt="이 셀에 메모를 입력합니다." sqref="E13:H14" xr:uid="{4FD6B697-FAA2-0845-8236-496D1F4F112F}"/>
    <dataValidation allowBlank="1" showInputMessage="1" showErrorMessage="1" prompt="오른쪽 셀에 메모를 입력합니다." sqref="D13:D14" xr:uid="{83BC04C1-823B-F44E-95C8-4BC213527015}"/>
    <dataValidation allowBlank="1" showInputMessage="1" showErrorMessage="1" prompt="3월 한 달 일정" sqref="A1" xr:uid="{90F35433-AEF3-5B4D-A4DD-1A91BBE43DBB}"/>
    <dataValidation allowBlank="1" showInputMessage="1" showErrorMessage="1" prompt="이 셀의 연도는 1월 워크시트에 입력한 연도에 따라 자동으로 업데이트됩니다. 아래 일정에는 이전 달과 다음 달의 날짜가 연한 글꼴 음영으로 표시됩니다." sqref="B1:D1" xr:uid="{B7AB608D-282F-6E42-BDB2-73CF72D7745B}"/>
    <dataValidation allowBlank="1" showInputMessage="1" showErrorMessage="1" prompt="자동으로 결정된 평일입니다." sqref="C2:H2" xr:uid="{6612F1D9-DFF3-5047-BB87-715B92920E2E}"/>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87414694-F8CB-8B47-AC39-8108350565E3}"/>
    <dataValidation allowBlank="1" showInputMessage="1" showErrorMessage="1" prompt="이 행과 5, 7, 9, 11, 13행에는 해당 주의 날짜가 표시됩니다. 이 셀에 숫자 1이 없는 경우에는 이전 달의 날짜가 표시됩니다. E13 셀에 메모를 입력합니다." sqref="B3" xr:uid="{ECC6D4F2-9727-E549-A015-DC46511FE28D}"/>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CB96-8443-4315-925E-F39E4B9FC221}">
  <sheetPr>
    <tabColor theme="4" tint="0.39997558519241921"/>
    <pageSetUpPr fitToPage="1"/>
  </sheetPr>
  <dimension ref="A1:L14"/>
  <sheetViews>
    <sheetView showGridLines="0" topLeftCell="B4" workbookViewId="0">
      <selection activeCell="F11" sqref="F11"/>
    </sheetView>
  </sheetViews>
  <sheetFormatPr defaultColWidth="8.5" defaultRowHeight="16.5"/>
  <cols>
    <col min="1" max="1" width="2.5" style="65" customWidth="1"/>
    <col min="2" max="2" width="17.875" style="65" customWidth="1"/>
    <col min="3" max="3" width="21" style="65" customWidth="1"/>
    <col min="4" max="4" width="22" style="65" customWidth="1"/>
    <col min="5" max="5" width="20.125" style="65" customWidth="1"/>
    <col min="6" max="6" width="21.875" style="65" customWidth="1"/>
    <col min="7" max="7" width="20.625" style="65" customWidth="1"/>
    <col min="8" max="8" width="17.375" style="65" customWidth="1"/>
    <col min="9" max="9" width="2.5" style="65" customWidth="1"/>
    <col min="10" max="10" width="17.875" style="65" customWidth="1"/>
    <col min="11" max="16384" width="8.5" style="65"/>
  </cols>
  <sheetData>
    <row r="1" spans="1:12" ht="60" customHeight="1">
      <c r="B1" s="365" t="str">
        <f>달력연도&amp;"년"&amp;" 4월"</f>
        <v>2025년 4월</v>
      </c>
      <c r="C1" s="365"/>
      <c r="D1" s="365"/>
      <c r="E1" s="66"/>
      <c r="F1" s="66"/>
      <c r="G1" s="66"/>
      <c r="H1" s="79"/>
    </row>
    <row r="2" spans="1:12"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2" ht="19.5" customHeight="1">
      <c r="B3" s="74">
        <f t="array" ref="B3:H3">요일및주+DATE(달력연도,4,1)-WEEKDAY(DATE(달력연도,4,1),(주시작="월요일")+1)+1</f>
        <v>45746</v>
      </c>
      <c r="C3" s="74">
        <v>45747</v>
      </c>
      <c r="D3" s="74">
        <v>45748</v>
      </c>
      <c r="E3" s="74">
        <v>45749</v>
      </c>
      <c r="F3" s="74">
        <v>45750</v>
      </c>
      <c r="G3" s="74">
        <v>45751</v>
      </c>
      <c r="H3" s="84">
        <v>45752</v>
      </c>
    </row>
    <row r="4" spans="1:12" ht="84" customHeight="1">
      <c r="C4" s="103"/>
      <c r="D4" s="103" t="s">
        <v>2096</v>
      </c>
      <c r="E4" s="103" t="s">
        <v>2097</v>
      </c>
      <c r="F4" s="98" t="s">
        <v>2098</v>
      </c>
      <c r="G4" s="98" t="s">
        <v>2099</v>
      </c>
      <c r="J4" s="327" t="s">
        <v>2100</v>
      </c>
    </row>
    <row r="5" spans="1:12" ht="19.5" customHeight="1">
      <c r="B5" s="88">
        <f t="array" ref="B5:H5">요일및주+DATE(달력연도,4,1)-WEEKDAY(DATE(달력연도,4,1),(주시작="월요일")+1)+8</f>
        <v>45753</v>
      </c>
      <c r="C5" s="80">
        <v>45754</v>
      </c>
      <c r="D5" s="80">
        <v>45755</v>
      </c>
      <c r="E5" s="141">
        <v>45756</v>
      </c>
      <c r="F5" s="80">
        <v>45757</v>
      </c>
      <c r="G5" s="80">
        <v>45758</v>
      </c>
      <c r="H5" s="90">
        <v>45759</v>
      </c>
      <c r="J5" s="328" t="s">
        <v>2038</v>
      </c>
    </row>
    <row r="6" spans="1:12" ht="120.6" customHeight="1">
      <c r="B6" s="360"/>
      <c r="C6" s="113" t="s">
        <v>2101</v>
      </c>
      <c r="D6" s="92" t="s">
        <v>2102</v>
      </c>
      <c r="E6" s="92" t="s">
        <v>2103</v>
      </c>
      <c r="F6" s="332" t="s">
        <v>2104</v>
      </c>
      <c r="G6" s="92" t="s">
        <v>2105</v>
      </c>
      <c r="H6" s="360"/>
      <c r="J6" s="334" t="s">
        <v>2106</v>
      </c>
      <c r="L6" s="331"/>
    </row>
    <row r="7" spans="1:12" ht="19.5" customHeight="1">
      <c r="B7" s="87">
        <f t="array" ref="B7:H7">요일및주+DATE(달력연도,4,1)-WEEKDAY(DATE(달력연도,4,1),(주시작="월요일")+1)+15</f>
        <v>45760</v>
      </c>
      <c r="C7" s="74">
        <v>45761</v>
      </c>
      <c r="D7" s="74">
        <v>45762</v>
      </c>
      <c r="E7" s="74">
        <v>45763</v>
      </c>
      <c r="F7" s="74">
        <v>45764</v>
      </c>
      <c r="G7" s="74">
        <v>45765</v>
      </c>
      <c r="H7" s="84">
        <v>45766</v>
      </c>
    </row>
    <row r="8" spans="1:12" ht="91.5" customHeight="1">
      <c r="C8" s="333" t="s">
        <v>2107</v>
      </c>
      <c r="D8" s="103" t="s">
        <v>2108</v>
      </c>
      <c r="E8" s="333" t="s">
        <v>2109</v>
      </c>
      <c r="F8" s="103" t="s">
        <v>2110</v>
      </c>
      <c r="G8" s="119" t="s">
        <v>2111</v>
      </c>
    </row>
    <row r="9" spans="1:12" ht="19.5" customHeight="1">
      <c r="B9" s="88">
        <f t="array" ref="B9:H9">요일및주+DATE(달력연도,4,1)-WEEKDAY(DATE(달력연도,4,1),(주시작="월요일")+1)+22</f>
        <v>45767</v>
      </c>
      <c r="C9" s="80">
        <v>45768</v>
      </c>
      <c r="D9" s="80">
        <v>45769</v>
      </c>
      <c r="E9" s="80">
        <v>45770</v>
      </c>
      <c r="F9" s="80">
        <v>45771</v>
      </c>
      <c r="G9" s="80">
        <v>45772</v>
      </c>
      <c r="H9" s="90">
        <v>45773</v>
      </c>
    </row>
    <row r="10" spans="1:12" ht="57.95" customHeight="1">
      <c r="B10" s="360"/>
      <c r="C10" s="92" t="s">
        <v>2112</v>
      </c>
      <c r="D10" s="332" t="s">
        <v>2113</v>
      </c>
      <c r="E10" s="332" t="s">
        <v>2114</v>
      </c>
      <c r="F10" s="92" t="s">
        <v>2115</v>
      </c>
      <c r="G10" s="118" t="s">
        <v>2116</v>
      </c>
      <c r="H10" s="360"/>
    </row>
    <row r="11" spans="1:12" ht="19.5" customHeight="1">
      <c r="B11" s="87">
        <f t="array" ref="B11:H11">요일및주+DATE(달력연도,4,1)-WEEKDAY(DATE(달력연도,4,1),(주시작="월요일")+1)+29</f>
        <v>45774</v>
      </c>
      <c r="C11" s="74">
        <v>45775</v>
      </c>
      <c r="D11" s="74">
        <v>45776</v>
      </c>
      <c r="E11" s="74">
        <v>45777</v>
      </c>
      <c r="F11" s="74">
        <v>45778</v>
      </c>
      <c r="G11" s="74">
        <v>45779</v>
      </c>
      <c r="H11" s="74">
        <v>45780</v>
      </c>
    </row>
    <row r="12" spans="1:12" ht="57.95" customHeight="1">
      <c r="C12" s="119" t="s">
        <v>2117</v>
      </c>
      <c r="D12" s="104" t="s">
        <v>2115</v>
      </c>
    </row>
    <row r="13" spans="1:12" ht="19.5" customHeight="1">
      <c r="B13" s="80">
        <f t="array" ref="B13:C13">요일및주+DATE(달력연도,4,1)-WEEKDAY(DATE(달력연도,4,1),(주시작="월요일")+1)+36</f>
        <v>45781</v>
      </c>
      <c r="C13" s="80">
        <v>45782</v>
      </c>
      <c r="D13" s="366" t="s">
        <v>2055</v>
      </c>
      <c r="E13" s="367"/>
      <c r="F13" s="367"/>
      <c r="G13" s="367"/>
      <c r="H13" s="367"/>
    </row>
    <row r="14" spans="1:12"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15" priority="1">
      <formula>DAY(B3)&gt;8</formula>
    </cfRule>
  </conditionalFormatting>
  <conditionalFormatting sqref="B11:H11 B13:C13">
    <cfRule type="expression" dxfId="14" priority="2">
      <formula>AND(DAY(B11)&gt;=1,DAY(B11)&lt;=15)</formula>
    </cfRule>
  </conditionalFormatting>
  <dataValidations count="8">
    <dataValidation allowBlank="1" showInputMessage="1" showErrorMessage="1" prompt="자동으로 결정된 평일입니다." sqref="C2:H2" xr:uid="{FA70A842-68D0-FC4C-A4B8-433216A1735A}"/>
    <dataValidation allowBlank="1" showInputMessage="1" showErrorMessage="1" prompt="이 셀의 연도는 1월 워크시트에 입력한 연도에 따라 자동으로 업데이트됩니다. 아래 일정에는 이전 달과 다음 달의 날짜가 연한 글꼴 음영으로 표시됩니다." sqref="B1:D1" xr:uid="{8182ABB2-D28D-B44C-AC9E-3C19C7724B59}"/>
    <dataValidation allowBlank="1" showInputMessage="1" showErrorMessage="1" prompt="4월 한 달 일정" sqref="A1" xr:uid="{798B7DD2-E068-7D4B-A468-CBEFC5D87339}"/>
    <dataValidation allowBlank="1" showInputMessage="1" showErrorMessage="1" prompt="오른쪽 셀에 메모를 입력합니다." sqref="D13:D14" xr:uid="{7B90D121-6BEE-FD4B-B5C9-5B8B0E333EAA}"/>
    <dataValidation allowBlank="1" showInputMessage="1" showErrorMessage="1" prompt="이 셀에 메모를 입력합니다." sqref="E13:H14" xr:uid="{9B9A13A4-9CCC-6846-885C-E63C930AA564}"/>
    <dataValidation allowBlank="1" showInputMessage="1" showErrorMessage="1" prompt="이 행과 6, 8, 10, 12, 14 행은 위의 셀에 있는 날짜와 관련된 일별 메모를 입력하는 셀입니다." sqref="B4" xr:uid="{B9B81764-32A5-F642-99B4-3C9F71E730EA}"/>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A5FD5973-2AC6-104C-BEAA-8F5B41D8615E}"/>
    <dataValidation allowBlank="1" showInputMessage="1" showErrorMessage="1" prompt="이 행과 5, 7, 9, 11, 13행에는 해당 주의 날짜가 표시됩니다. 이 셀에 숫자 1이 없는 경우에는 이전 달의 날짜가 표시됩니다. E13 셀에 메모를 입력합니다." sqref="B3" xr:uid="{98AE8711-828B-C74B-AAB6-EA514619D97B}"/>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FECB-FD03-48BE-8611-C0A544FB87D7}">
  <sheetPr>
    <tabColor theme="4" tint="0.59999389629810485"/>
    <pageSetUpPr fitToPage="1"/>
  </sheetPr>
  <dimension ref="A1:J14"/>
  <sheetViews>
    <sheetView showGridLines="0" topLeftCell="A4" workbookViewId="0">
      <selection activeCell="J12" sqref="J12"/>
    </sheetView>
  </sheetViews>
  <sheetFormatPr defaultColWidth="8.5" defaultRowHeight="16.5"/>
  <cols>
    <col min="1" max="1" width="2.5" style="65" customWidth="1"/>
    <col min="2" max="2" width="14.5" style="65" customWidth="1"/>
    <col min="3" max="3" width="20.125" style="65" customWidth="1"/>
    <col min="4" max="4" width="24" style="65" customWidth="1"/>
    <col min="5" max="5" width="21" style="65" customWidth="1"/>
    <col min="6" max="6" width="27.375" style="65" customWidth="1"/>
    <col min="7" max="7" width="25.375" style="65" customWidth="1"/>
    <col min="8" max="8" width="17.375" style="65" customWidth="1"/>
    <col min="9" max="9" width="2.5" style="65" customWidth="1"/>
    <col min="10" max="10" width="16" style="65" customWidth="1"/>
    <col min="11" max="16384" width="8.5" style="65"/>
  </cols>
  <sheetData>
    <row r="1" spans="1:10" ht="60" customHeight="1">
      <c r="B1" s="365" t="str">
        <f>달력연도&amp;"년"&amp;" 5월"</f>
        <v>2025년 5월</v>
      </c>
      <c r="C1" s="365"/>
      <c r="D1" s="365"/>
      <c r="E1" s="66"/>
      <c r="F1" s="66"/>
      <c r="G1" s="66"/>
      <c r="H1" s="79"/>
    </row>
    <row r="2" spans="1:10"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0" ht="19.5" customHeight="1">
      <c r="B3" s="74">
        <f t="array" ref="B3:H3">요일및주+DATE(달력연도,5,1)-WEEKDAY(DATE(달력연도,5,1),(주시작="월요일")+1)+1</f>
        <v>45774</v>
      </c>
      <c r="C3" s="74">
        <v>45775</v>
      </c>
      <c r="D3" s="74">
        <v>45776</v>
      </c>
      <c r="E3" s="74">
        <v>45777</v>
      </c>
      <c r="F3" s="74">
        <v>45778</v>
      </c>
      <c r="G3" s="74">
        <v>45779</v>
      </c>
      <c r="H3" s="84">
        <v>45780</v>
      </c>
    </row>
    <row r="4" spans="1:10" ht="69.75" customHeight="1">
      <c r="F4" s="98"/>
      <c r="G4" s="98" t="s">
        <v>2118</v>
      </c>
      <c r="J4" s="327" t="s">
        <v>2119</v>
      </c>
    </row>
    <row r="5" spans="1:10" ht="19.5" customHeight="1">
      <c r="B5" s="88">
        <f t="array" ref="B5:H5">요일및주+DATE(달력연도,5,1)-WEEKDAY(DATE(달력연도,5,1),(주시작="월요일")+1)+8</f>
        <v>45781</v>
      </c>
      <c r="C5" s="88">
        <v>45782</v>
      </c>
      <c r="D5" s="88">
        <v>45783</v>
      </c>
      <c r="E5" s="80">
        <v>45784</v>
      </c>
      <c r="F5" s="80">
        <v>45785</v>
      </c>
      <c r="G5" s="80">
        <v>45786</v>
      </c>
      <c r="H5" s="90">
        <v>45787</v>
      </c>
      <c r="J5" s="328" t="s">
        <v>2038</v>
      </c>
    </row>
    <row r="6" spans="1:10" ht="96" customHeight="1">
      <c r="B6" s="360"/>
      <c r="C6" s="144" t="s">
        <v>2120</v>
      </c>
      <c r="D6" s="144" t="s">
        <v>2076</v>
      </c>
      <c r="E6" s="113" t="s">
        <v>2121</v>
      </c>
      <c r="F6" s="113" t="s">
        <v>2122</v>
      </c>
      <c r="G6" s="113" t="s">
        <v>2123</v>
      </c>
      <c r="H6" s="117"/>
      <c r="J6" s="334" t="s">
        <v>2124</v>
      </c>
    </row>
    <row r="7" spans="1:10" ht="19.5" customHeight="1">
      <c r="B7" s="87">
        <f t="array" ref="B7:H7">요일및주+DATE(달력연도,5,1)-WEEKDAY(DATE(달력연도,5,1),(주시작="월요일")+1)+15</f>
        <v>45788</v>
      </c>
      <c r="C7" s="74">
        <v>45789</v>
      </c>
      <c r="D7" s="74">
        <v>45790</v>
      </c>
      <c r="E7" s="143">
        <v>45791</v>
      </c>
      <c r="F7" s="74">
        <v>45792</v>
      </c>
      <c r="G7" s="74">
        <v>45793</v>
      </c>
      <c r="H7" s="84">
        <v>45794</v>
      </c>
      <c r="J7" s="354" t="s">
        <v>2125</v>
      </c>
    </row>
    <row r="8" spans="1:10" ht="83.25" customHeight="1">
      <c r="C8" s="103" t="s">
        <v>2172</v>
      </c>
      <c r="D8" s="340" t="s">
        <v>2286</v>
      </c>
      <c r="E8" s="341" t="s">
        <v>2126</v>
      </c>
      <c r="F8" s="103" t="s">
        <v>2192</v>
      </c>
      <c r="G8" s="98" t="s">
        <v>2127</v>
      </c>
      <c r="J8" s="355" t="s">
        <v>2269</v>
      </c>
    </row>
    <row r="9" spans="1:10" ht="19.5" customHeight="1">
      <c r="B9" s="88">
        <f t="array" ref="B9:H9">요일및주+DATE(달력연도,5,1)-WEEKDAY(DATE(달력연도,5,1),(주시작="월요일")+1)+22</f>
        <v>45795</v>
      </c>
      <c r="C9" s="80">
        <v>45796</v>
      </c>
      <c r="D9" s="80">
        <v>45797</v>
      </c>
      <c r="E9" s="80">
        <v>45798</v>
      </c>
      <c r="F9" s="80">
        <v>45799</v>
      </c>
      <c r="G9" s="80">
        <v>45800</v>
      </c>
      <c r="H9" s="90">
        <v>45801</v>
      </c>
    </row>
    <row r="10" spans="1:10" ht="118.5" customHeight="1">
      <c r="B10" s="360"/>
      <c r="C10" s="92" t="s">
        <v>2128</v>
      </c>
      <c r="D10" s="92" t="s">
        <v>2155</v>
      </c>
      <c r="E10" s="92" t="s">
        <v>2193</v>
      </c>
      <c r="F10" s="118" t="s">
        <v>2194</v>
      </c>
      <c r="G10" s="118" t="s">
        <v>2284</v>
      </c>
      <c r="H10" s="360"/>
    </row>
    <row r="11" spans="1:10" ht="19.5" customHeight="1">
      <c r="B11" s="87">
        <f t="array" ref="B11:H11">요일및주+DATE(달력연도,5,1)-WEEKDAY(DATE(달력연도,5,1),(주시작="월요일")+1)+29</f>
        <v>45802</v>
      </c>
      <c r="C11" s="74">
        <v>45803</v>
      </c>
      <c r="D11" s="74">
        <v>45804</v>
      </c>
      <c r="E11" s="74">
        <v>45805</v>
      </c>
      <c r="F11" s="74">
        <v>45806</v>
      </c>
      <c r="G11" s="74">
        <v>45807</v>
      </c>
      <c r="H11" s="74">
        <v>45808</v>
      </c>
    </row>
    <row r="12" spans="1:10" ht="82.5">
      <c r="C12" s="119" t="s">
        <v>2285</v>
      </c>
      <c r="D12" s="333" t="s">
        <v>2270</v>
      </c>
      <c r="E12" s="148" t="s">
        <v>2271</v>
      </c>
      <c r="F12" s="103" t="s">
        <v>2272</v>
      </c>
      <c r="G12" s="103" t="s">
        <v>2287</v>
      </c>
    </row>
    <row r="13" spans="1:10" ht="19.5" customHeight="1">
      <c r="B13" s="80">
        <f t="array" ref="B13:C13">요일및주+DATE(달력연도,5,1)-WEEKDAY(DATE(달력연도,5,1),(주시작="월요일")+1)+36</f>
        <v>45809</v>
      </c>
      <c r="C13" s="80">
        <v>45810</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13" priority="1">
      <formula>DAY(B3)&gt;8</formula>
    </cfRule>
  </conditionalFormatting>
  <conditionalFormatting sqref="B11:H11 B13:C13">
    <cfRule type="expression" dxfId="12" priority="2">
      <formula>AND(DAY(B11)&gt;=1,DAY(B11)&lt;=15)</formula>
    </cfRule>
  </conditionalFormatting>
  <dataValidations count="8">
    <dataValidation allowBlank="1" showInputMessage="1" showErrorMessage="1" prompt="자동으로 결정된 평일입니다." sqref="C2:H2" xr:uid="{A4DDE518-7F93-324F-BEDB-52B384328079}"/>
    <dataValidation allowBlank="1" showInputMessage="1" showErrorMessage="1" prompt="이 셀의 연도는 1월 워크시트에 입력한 연도에 따라 자동으로 업데이트됩니다. 아래 일정에는 이전 달과 다음 달의 날짜가 연한 글꼴 음영으로 표시됩니다." sqref="B1:D1" xr:uid="{8044D3EA-0938-8944-A3B5-EB0FAA8F98EC}"/>
    <dataValidation allowBlank="1" showInputMessage="1" showErrorMessage="1" prompt="5월 한 달 일정" sqref="A1" xr:uid="{90A1E212-7627-1848-A39E-64486CD04215}"/>
    <dataValidation allowBlank="1" showInputMessage="1" showErrorMessage="1" prompt="오른쪽 셀에 메모를 입력합니다." sqref="D13:D14" xr:uid="{DEDD995B-12AC-4D48-8DEB-799D1A9A87F1}"/>
    <dataValidation allowBlank="1" showInputMessage="1" showErrorMessage="1" prompt="이 셀에 메모를 입력합니다." sqref="E13:H14" xr:uid="{E30C9C27-C66D-C943-985F-46E4DE7CF22A}"/>
    <dataValidation allowBlank="1" showInputMessage="1" showErrorMessage="1" prompt="이 행과 6, 8, 10, 12, 14 행은 위의 셀에 있는 날짜와 관련된 일별 메모를 입력하는 셀입니다." sqref="B4" xr:uid="{1C7E77C2-EB45-9749-A0AC-E02524A9A4BB}"/>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92F3591E-7B41-154A-A129-C3600B22735F}"/>
    <dataValidation allowBlank="1" showInputMessage="1" showErrorMessage="1" prompt="이 행과 5, 7, 9, 11, 13행에는 해당 주의 날짜가 표시됩니다. 이 셀에 숫자 1이 없는 경우에는 이전 달의 날짜가 표시됩니다. E13 셀에 메모를 입력합니다." sqref="B3" xr:uid="{89CDD443-EB47-A34A-8A92-4A5821EE2725}"/>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30ED-A80E-4E6C-A266-D34545DE232B}">
  <sheetPr>
    <tabColor theme="2"/>
    <pageSetUpPr fitToPage="1"/>
  </sheetPr>
  <dimension ref="A1:J14"/>
  <sheetViews>
    <sheetView showGridLines="0" zoomScaleNormal="100" workbookViewId="0">
      <selection activeCell="J4" sqref="J4"/>
    </sheetView>
  </sheetViews>
  <sheetFormatPr defaultColWidth="8.5" defaultRowHeight="16.5"/>
  <cols>
    <col min="1" max="1" width="2.5" style="65" customWidth="1"/>
    <col min="2" max="2" width="17.875" style="65" customWidth="1"/>
    <col min="3" max="3" width="19.125" style="65" customWidth="1"/>
    <col min="4" max="4" width="17.375" style="65" customWidth="1"/>
    <col min="5" max="5" width="20.125" style="65" customWidth="1"/>
    <col min="6" max="8" width="17.375" style="65" customWidth="1"/>
    <col min="9" max="9" width="2.5" style="65" customWidth="1"/>
    <col min="10" max="10" width="18.875" style="65" customWidth="1"/>
    <col min="11" max="16384" width="8.5" style="65"/>
  </cols>
  <sheetData>
    <row r="1" spans="1:10" ht="60" customHeight="1">
      <c r="B1" s="365" t="str">
        <f>달력연도&amp;"년"&amp;" 7월"</f>
        <v>2025년 7월</v>
      </c>
      <c r="C1" s="365"/>
      <c r="D1" s="365"/>
      <c r="E1" s="66"/>
      <c r="F1" s="66"/>
      <c r="G1" s="66"/>
      <c r="H1" s="79"/>
    </row>
    <row r="2" spans="1:10"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0" ht="19.5" customHeight="1">
      <c r="B3" s="74">
        <f t="array" ref="B3:H3">요일및주+DATE(달력연도,7,1)-WEEKDAY(DATE(달력연도,7,1),(주시작="월요일")+1)+1</f>
        <v>45837</v>
      </c>
      <c r="C3" s="74">
        <v>45838</v>
      </c>
      <c r="D3" s="74">
        <v>45839</v>
      </c>
      <c r="E3" s="74">
        <v>45840</v>
      </c>
      <c r="F3" s="74">
        <v>45841</v>
      </c>
      <c r="G3" s="74">
        <v>45842</v>
      </c>
      <c r="H3" s="84">
        <v>45843</v>
      </c>
    </row>
    <row r="4" spans="1:10" ht="93.95" customHeight="1">
      <c r="C4" s="103"/>
      <c r="D4" s="103"/>
      <c r="E4" s="103"/>
      <c r="F4" s="103"/>
      <c r="G4" s="103"/>
      <c r="J4" s="327" t="s">
        <v>2131</v>
      </c>
    </row>
    <row r="5" spans="1:10" ht="19.5" customHeight="1">
      <c r="B5" s="88">
        <f t="array" ref="B5:H5">요일및주+DATE(달력연도,7,1)-WEEKDAY(DATE(달력연도,7,1),(주시작="월요일")+1)+8</f>
        <v>45844</v>
      </c>
      <c r="C5" s="80">
        <v>45845</v>
      </c>
      <c r="D5" s="80">
        <v>45846</v>
      </c>
      <c r="E5" s="80">
        <v>45847</v>
      </c>
      <c r="F5" s="80">
        <v>45848</v>
      </c>
      <c r="G5" s="80">
        <v>45849</v>
      </c>
      <c r="H5" s="90">
        <v>45850</v>
      </c>
      <c r="J5" s="328" t="s">
        <v>2038</v>
      </c>
    </row>
    <row r="6" spans="1:10" ht="87.95" customHeight="1">
      <c r="B6" s="360"/>
      <c r="C6" s="113"/>
      <c r="D6" s="113"/>
      <c r="E6" s="113"/>
      <c r="F6" s="113"/>
      <c r="G6" s="113"/>
      <c r="H6" s="360"/>
      <c r="J6" s="326" t="s">
        <v>2130</v>
      </c>
    </row>
    <row r="7" spans="1:10" ht="19.5" customHeight="1">
      <c r="B7" s="87">
        <f t="array" ref="B7:H7">요일및주+DATE(달력연도,7,1)-WEEKDAY(DATE(달력연도,7,1),(주시작="월요일")+1)+15</f>
        <v>45851</v>
      </c>
      <c r="C7" s="74">
        <v>45852</v>
      </c>
      <c r="D7" s="74">
        <v>45853</v>
      </c>
      <c r="E7" s="74">
        <v>45854</v>
      </c>
      <c r="F7" s="74">
        <v>45855</v>
      </c>
      <c r="G7" s="74">
        <v>45856</v>
      </c>
      <c r="H7" s="84">
        <v>45857</v>
      </c>
    </row>
    <row r="8" spans="1:10" ht="71.45" customHeight="1">
      <c r="C8" s="119"/>
      <c r="D8" s="103"/>
      <c r="E8" s="120"/>
      <c r="F8" s="104"/>
      <c r="G8" s="103"/>
    </row>
    <row r="9" spans="1:10" ht="19.5" customHeight="1">
      <c r="B9" s="88">
        <f t="array" ref="B9:H9">요일및주+DATE(달력연도,7,1)-WEEKDAY(DATE(달력연도,7,1),(주시작="월요일")+1)+22</f>
        <v>45858</v>
      </c>
      <c r="C9" s="80">
        <v>45859</v>
      </c>
      <c r="D9" s="80">
        <v>45860</v>
      </c>
      <c r="E9" s="80">
        <v>45861</v>
      </c>
      <c r="F9" s="80">
        <v>45862</v>
      </c>
      <c r="G9" s="80">
        <v>45863</v>
      </c>
      <c r="H9" s="90">
        <v>45864</v>
      </c>
    </row>
    <row r="10" spans="1:10" ht="57.95" customHeight="1">
      <c r="B10" s="360"/>
      <c r="C10" s="121"/>
      <c r="D10" s="93"/>
      <c r="E10" s="93"/>
      <c r="F10" s="93"/>
      <c r="G10" s="117"/>
      <c r="H10" s="360"/>
    </row>
    <row r="11" spans="1:10" ht="19.5" customHeight="1">
      <c r="B11" s="87">
        <f t="array" ref="B11:H11">요일및주+DATE(달력연도,7,1)-WEEKDAY(DATE(달력연도,7,1),(주시작="월요일")+1)+29</f>
        <v>45865</v>
      </c>
      <c r="C11" s="74">
        <v>45866</v>
      </c>
      <c r="D11" s="74">
        <v>45867</v>
      </c>
      <c r="E11" s="74">
        <v>45868</v>
      </c>
      <c r="F11" s="74">
        <v>45869</v>
      </c>
      <c r="G11" s="74">
        <v>45870</v>
      </c>
      <c r="H11" s="74">
        <v>45871</v>
      </c>
    </row>
    <row r="12" spans="1:10" ht="57.95" customHeight="1">
      <c r="C12" s="133"/>
      <c r="D12" s="103"/>
      <c r="E12" s="103"/>
    </row>
    <row r="13" spans="1:10" ht="19.5" customHeight="1">
      <c r="B13" s="80">
        <f t="array" ref="B13:C13">요일및주+DATE(달력연도,7,1)-WEEKDAY(DATE(달력연도,7,1),(주시작="월요일")+1)+36</f>
        <v>45872</v>
      </c>
      <c r="C13" s="80">
        <v>45873</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11" priority="1">
      <formula>DAY(B3)&gt;8</formula>
    </cfRule>
  </conditionalFormatting>
  <conditionalFormatting sqref="B11:H11 B13:C13">
    <cfRule type="expression" dxfId="10" priority="2">
      <formula>AND(DAY(B11)&gt;=1,DAY(B11)&lt;=15)</formula>
    </cfRule>
  </conditionalFormatting>
  <dataValidations count="8">
    <dataValidation allowBlank="1" showInputMessage="1" showErrorMessage="1" prompt="자동으로 결정된 평일입니다." sqref="C2:H2" xr:uid="{3FA3F520-2070-1D4C-BC75-F6B8897D7AC9}"/>
    <dataValidation allowBlank="1" showInputMessage="1" showErrorMessage="1" prompt="7월 한 달 일정" sqref="A1" xr:uid="{63295468-9CA1-1B4B-B608-19783FED5294}"/>
    <dataValidation allowBlank="1" showInputMessage="1" showErrorMessage="1" prompt="오른쪽 셀에 메모를 입력합니다." sqref="D13:D14" xr:uid="{23428810-50C9-7D48-8D37-542E080709AB}"/>
    <dataValidation allowBlank="1" showInputMessage="1" showErrorMessage="1" prompt="이 셀에 메모를 입력합니다." sqref="E13:H14" xr:uid="{4BE931EB-59EA-7B47-B93B-90559537A697}"/>
    <dataValidation allowBlank="1" showInputMessage="1" showErrorMessage="1" prompt="이 행과 6, 8, 10, 12, 14 행은 위의 셀에 있는 날짜와 관련된 일별 메모를 입력하는 셀입니다." sqref="B4" xr:uid="{0AFD3D5A-7DC2-9546-9747-A70ECA3D6D4F}"/>
    <dataValidation allowBlank="1" showInputMessage="1" showErrorMessage="1" prompt="이 셀의 연도는 1월 워크시트에 입력한 연도에 따라 자동으로 업데이트됩니다. 아래 달력에는 이전 달과 다음 달의 날짜가 연한 글꼴 음영으로 표시됩니다." sqref="B1:D1" xr:uid="{A5FD602C-CE07-B74F-8C1F-C96B9D6C4DAA}"/>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491427DC-915B-2541-9521-CFD00975BF9D}"/>
    <dataValidation allowBlank="1" showInputMessage="1" showErrorMessage="1" prompt="이 행과 5, 7, 9, 11, 13행에는 해당 주의 날짜가 표시됩니다. 이 셀에 숫자 1이 없는 경우에는 이전 달의 날짜가 표시됩니다. E13 셀에 메모를 입력합니다." sqref="B3" xr:uid="{23AB2144-949E-054C-871E-56BD9EC3F4B9}"/>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D132-FBE4-4B79-BD74-9837A082DF42}">
  <sheetPr>
    <tabColor theme="2" tint="-9.9978637043366805E-2"/>
    <pageSetUpPr fitToPage="1"/>
  </sheetPr>
  <dimension ref="A1:J14"/>
  <sheetViews>
    <sheetView showGridLines="0" workbookViewId="0">
      <selection activeCell="J4" sqref="J4"/>
    </sheetView>
  </sheetViews>
  <sheetFormatPr defaultColWidth="8.5" defaultRowHeight="16.5"/>
  <cols>
    <col min="1" max="1" width="2.5" style="65" customWidth="1"/>
    <col min="2" max="2" width="17.875" style="65" customWidth="1"/>
    <col min="3" max="3" width="19.125" style="65" bestFit="1" customWidth="1"/>
    <col min="4" max="4" width="17.375" style="65" customWidth="1"/>
    <col min="5" max="5" width="21.5" style="65" bestFit="1" customWidth="1"/>
    <col min="6" max="6" width="21.5" style="65" customWidth="1"/>
    <col min="7" max="7" width="21.5" style="65" bestFit="1" customWidth="1"/>
    <col min="8" max="8" width="17.375" style="65" customWidth="1"/>
    <col min="9" max="9" width="2.5" style="65" customWidth="1"/>
    <col min="10" max="10" width="20.625" style="65" bestFit="1" customWidth="1"/>
    <col min="11" max="16384" width="8.5" style="65"/>
  </cols>
  <sheetData>
    <row r="1" spans="1:10" ht="60" customHeight="1">
      <c r="B1" s="365" t="str">
        <f>달력연도&amp;"년"&amp;" 8월"</f>
        <v>2025년 8월</v>
      </c>
      <c r="C1" s="365"/>
      <c r="D1" s="365"/>
      <c r="E1" s="66"/>
      <c r="F1" s="66"/>
      <c r="G1" s="66"/>
      <c r="H1" s="79"/>
    </row>
    <row r="2" spans="1:10"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0" ht="19.5" customHeight="1">
      <c r="B3" s="74">
        <f t="array" ref="B3:H3">요일및주+DATE(달력연도,8,1)-WEEKDAY(DATE(달력연도,8,1),(주시작="월요일")+1)+1</f>
        <v>45865</v>
      </c>
      <c r="C3" s="74">
        <v>45866</v>
      </c>
      <c r="D3" s="74">
        <v>45867</v>
      </c>
      <c r="E3" s="74">
        <v>45868</v>
      </c>
      <c r="F3" s="74">
        <v>45869</v>
      </c>
      <c r="G3" s="74">
        <v>45870</v>
      </c>
      <c r="H3" s="84">
        <v>45871</v>
      </c>
    </row>
    <row r="4" spans="1:10" ht="105" customHeight="1">
      <c r="F4" s="103"/>
      <c r="G4" s="103"/>
      <c r="J4" s="327" t="s">
        <v>2131</v>
      </c>
    </row>
    <row r="5" spans="1:10" ht="19.5" customHeight="1">
      <c r="B5" s="88">
        <f t="array" ref="B5:H5">요일및주+DATE(달력연도,8,1)-WEEKDAY(DATE(달력연도,8,1),(주시작="월요일")+1)+8</f>
        <v>45872</v>
      </c>
      <c r="C5" s="80">
        <v>45873</v>
      </c>
      <c r="D5" s="80">
        <v>45874</v>
      </c>
      <c r="E5" s="80">
        <v>45875</v>
      </c>
      <c r="F5" s="80">
        <v>45876</v>
      </c>
      <c r="G5" s="80">
        <v>45877</v>
      </c>
      <c r="H5" s="90">
        <v>45878</v>
      </c>
      <c r="J5" s="328" t="s">
        <v>2038</v>
      </c>
    </row>
    <row r="6" spans="1:10" ht="70.5" customHeight="1">
      <c r="B6" s="360"/>
      <c r="C6" s="113"/>
      <c r="D6" s="113"/>
      <c r="E6" s="92"/>
      <c r="F6" s="92"/>
      <c r="G6" s="113"/>
      <c r="H6" s="360"/>
      <c r="J6" s="326" t="s">
        <v>2130</v>
      </c>
    </row>
    <row r="7" spans="1:10" ht="19.5" customHeight="1">
      <c r="B7" s="87">
        <f t="array" ref="B7:H7">요일및주+DATE(달력연도,8,1)-WEEKDAY(DATE(달력연도,8,1),(주시작="월요일")+1)+15</f>
        <v>45879</v>
      </c>
      <c r="C7" s="74">
        <v>45880</v>
      </c>
      <c r="D7" s="74">
        <v>45881</v>
      </c>
      <c r="E7" s="74">
        <v>45882</v>
      </c>
      <c r="F7" s="143">
        <v>45883</v>
      </c>
      <c r="G7" s="87">
        <v>45884</v>
      </c>
      <c r="H7" s="84">
        <v>45885</v>
      </c>
    </row>
    <row r="8" spans="1:10" ht="57.95" customHeight="1">
      <c r="C8" s="103"/>
      <c r="D8" s="103"/>
      <c r="E8" s="98"/>
      <c r="F8" s="138"/>
      <c r="G8" s="137" t="s">
        <v>2132</v>
      </c>
    </row>
    <row r="9" spans="1:10" ht="19.5" customHeight="1">
      <c r="B9" s="88">
        <f t="array" ref="B9:H9">요일및주+DATE(달력연도,8,1)-WEEKDAY(DATE(달력연도,8,1),(주시작="월요일")+1)+22</f>
        <v>45886</v>
      </c>
      <c r="C9" s="80">
        <v>45887</v>
      </c>
      <c r="D9" s="80">
        <v>45888</v>
      </c>
      <c r="E9" s="80">
        <v>45889</v>
      </c>
      <c r="F9" s="80">
        <v>45890</v>
      </c>
      <c r="G9" s="80">
        <v>45891</v>
      </c>
      <c r="H9" s="90">
        <v>45892</v>
      </c>
    </row>
    <row r="10" spans="1:10" ht="57.95" customHeight="1">
      <c r="B10" s="360"/>
      <c r="C10" s="93"/>
      <c r="D10" s="117"/>
      <c r="E10" s="117"/>
      <c r="F10" s="93"/>
      <c r="G10" s="92"/>
      <c r="H10" s="360"/>
    </row>
    <row r="11" spans="1:10" ht="19.5" customHeight="1">
      <c r="B11" s="87">
        <f t="array" ref="B11:H11">요일및주+DATE(달력연도,8,1)-WEEKDAY(DATE(달력연도,8,1),(주시작="월요일")+1)+29</f>
        <v>45893</v>
      </c>
      <c r="C11" s="74">
        <v>45894</v>
      </c>
      <c r="D11" s="74">
        <v>45895</v>
      </c>
      <c r="E11" s="74">
        <v>45896</v>
      </c>
      <c r="F11" s="74">
        <v>45897</v>
      </c>
      <c r="G11" s="74">
        <v>45898</v>
      </c>
      <c r="H11" s="84">
        <v>45899</v>
      </c>
    </row>
    <row r="12" spans="1:10" ht="57.95" customHeight="1">
      <c r="C12" s="103"/>
      <c r="D12" s="104"/>
      <c r="E12" s="104"/>
      <c r="F12" s="104"/>
      <c r="G12" s="103"/>
    </row>
    <row r="13" spans="1:10" ht="19.5" customHeight="1">
      <c r="B13" s="80">
        <f t="array" ref="B13:C13">요일및주+DATE(달력연도,8,1)-WEEKDAY(DATE(달력연도,8,1),(주시작="월요일")+1)+36</f>
        <v>45900</v>
      </c>
      <c r="C13" s="80">
        <v>45901</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9" priority="1">
      <formula>DAY(B3)&gt;8</formula>
    </cfRule>
  </conditionalFormatting>
  <conditionalFormatting sqref="B11:H11 B13:C13">
    <cfRule type="expression" dxfId="8" priority="2">
      <formula>AND(DAY(B11)&gt;=1,DAY(B11)&lt;=15)</formula>
    </cfRule>
  </conditionalFormatting>
  <dataValidations count="8">
    <dataValidation allowBlank="1" showInputMessage="1" showErrorMessage="1" prompt="자동으로 결정된 평일입니다." sqref="C2:H2" xr:uid="{49AE02A0-CDEA-004A-A5AD-13397CEA88FF}"/>
    <dataValidation allowBlank="1" showInputMessage="1" showErrorMessage="1" prompt="오른쪽 셀에 메모를 입력합니다." sqref="D13:D14" xr:uid="{86FF370C-91D9-9B49-B920-DFBC65008CEB}"/>
    <dataValidation allowBlank="1" showInputMessage="1" showErrorMessage="1" prompt="이 셀에 메모를 입력합니다." sqref="E13:H14" xr:uid="{A21C38C8-8641-FD4E-9D38-D63E240C8577}"/>
    <dataValidation allowBlank="1" showInputMessage="1" showErrorMessage="1" prompt="이 행과 6, 8, 10, 12, 14 행은 위의 셀에 있는 날짜와 관련된 일별 메모를 입력하는 셀입니다." sqref="B4" xr:uid="{D9791020-013E-BF4C-947C-7E197A6EEBCF}"/>
    <dataValidation allowBlank="1" showInputMessage="1" showErrorMessage="1" prompt="이 셀의 연도는 1월 워크시트에 입력한 연도에 따라 자동으로 업데이트됩니다. 아래 달력에는 이전 달과 다음 달의 날짜가 연한 글꼴 음영으로 표시됩니다." sqref="B1:D1" xr:uid="{6B6AE2BD-BF67-5F42-89D8-EB550AB7FFBC}"/>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8465F915-44A1-5546-926E-21FE3E1FF308}"/>
    <dataValidation allowBlank="1" showInputMessage="1" showErrorMessage="1" prompt="8월 한 달 일정" sqref="A1" xr:uid="{6A606C8B-4FD4-5F43-88EE-5E6A3FD2A720}"/>
    <dataValidation allowBlank="1" showInputMessage="1" showErrorMessage="1" prompt="이 행과 5, 7, 9, 11, 13행에는 해당 주의 날짜가 표시됩니다. 이 셀에 숫자 1이 없는 경우에는 이전 달의 날짜가 표시됩니다. E13 셀에 메모를 입력합니다." sqref="B3" xr:uid="{C46304A1-B3F1-D942-AAA0-84934AD69427}"/>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CD56-15C0-409A-8DA8-718C04E9BAF9}">
  <sheetPr>
    <tabColor theme="2" tint="-0.249977111117893"/>
    <pageSetUpPr fitToPage="1"/>
  </sheetPr>
  <dimension ref="A1:J14"/>
  <sheetViews>
    <sheetView showGridLines="0" workbookViewId="0">
      <selection activeCell="J4" sqref="J4"/>
    </sheetView>
  </sheetViews>
  <sheetFormatPr defaultColWidth="8.5" defaultRowHeight="16.5"/>
  <cols>
    <col min="1" max="1" width="2.5" style="65" customWidth="1"/>
    <col min="2" max="2" width="17.875" style="65" customWidth="1"/>
    <col min="3" max="3" width="17.375" style="65" customWidth="1"/>
    <col min="4" max="4" width="19.875" style="65" customWidth="1"/>
    <col min="5" max="8" width="17.375" style="65" customWidth="1"/>
    <col min="9" max="9" width="2.5" style="65" customWidth="1"/>
    <col min="10" max="10" width="20.625" style="65" bestFit="1" customWidth="1"/>
    <col min="11" max="16384" width="8.5" style="65"/>
  </cols>
  <sheetData>
    <row r="1" spans="1:10" ht="60" customHeight="1">
      <c r="B1" s="365" t="str">
        <f>달력연도&amp;"년"&amp;" 9월"</f>
        <v>2025년 9월</v>
      </c>
      <c r="C1" s="365"/>
      <c r="D1" s="365"/>
      <c r="E1" s="66"/>
      <c r="F1" s="66"/>
      <c r="G1" s="66"/>
      <c r="H1" s="79"/>
    </row>
    <row r="2" spans="1:10"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0" ht="19.5" customHeight="1">
      <c r="B3" s="87">
        <f t="array" ref="B3:H3">요일및주+DATE(달력연도,9,1)-WEEKDAY(DATE(달력연도,9,1),(주시작="월요일")+1)+1</f>
        <v>45900</v>
      </c>
      <c r="C3" s="74">
        <v>45901</v>
      </c>
      <c r="D3" s="74">
        <v>45902</v>
      </c>
      <c r="E3" s="74">
        <v>45903</v>
      </c>
      <c r="F3" s="74">
        <v>45904</v>
      </c>
      <c r="G3" s="74">
        <v>45905</v>
      </c>
      <c r="H3" s="84">
        <v>45906</v>
      </c>
    </row>
    <row r="4" spans="1:10" ht="110.25" customHeight="1">
      <c r="C4" s="103"/>
      <c r="D4" s="97"/>
      <c r="E4" s="97"/>
      <c r="F4" s="97"/>
      <c r="G4" s="103"/>
      <c r="J4" s="327" t="s">
        <v>2131</v>
      </c>
    </row>
    <row r="5" spans="1:10" ht="19.5" customHeight="1">
      <c r="B5" s="88">
        <f t="array" ref="B5:H5">요일및주+DATE(달력연도,9,1)-WEEKDAY(DATE(달력연도,9,1),(주시작="월요일")+1)+8</f>
        <v>45907</v>
      </c>
      <c r="C5" s="80">
        <v>45908</v>
      </c>
      <c r="D5" s="80">
        <v>45909</v>
      </c>
      <c r="E5" s="80">
        <v>45910</v>
      </c>
      <c r="F5" s="80">
        <v>45911</v>
      </c>
      <c r="G5" s="80">
        <v>45912</v>
      </c>
      <c r="H5" s="90">
        <v>45913</v>
      </c>
      <c r="J5" s="328" t="s">
        <v>2038</v>
      </c>
    </row>
    <row r="6" spans="1:10" ht="105" customHeight="1">
      <c r="B6" s="360"/>
      <c r="C6" s="113"/>
      <c r="D6" s="92"/>
      <c r="E6" s="92"/>
      <c r="F6" s="113"/>
      <c r="G6" s="92"/>
      <c r="H6" s="360"/>
      <c r="J6" s="326" t="s">
        <v>2130</v>
      </c>
    </row>
    <row r="7" spans="1:10" ht="19.5" customHeight="1">
      <c r="B7" s="87">
        <f t="array" ref="B7:H7">요일및주+DATE(달력연도,9,1)-WEEKDAY(DATE(달력연도,9,1),(주시작="월요일")+1)+15</f>
        <v>45914</v>
      </c>
      <c r="C7" s="143">
        <v>45915</v>
      </c>
      <c r="D7" s="143">
        <v>45916</v>
      </c>
      <c r="E7" s="143">
        <v>45917</v>
      </c>
      <c r="F7" s="74">
        <v>45918</v>
      </c>
      <c r="G7" s="74">
        <v>45919</v>
      </c>
      <c r="H7" s="84">
        <v>45920</v>
      </c>
    </row>
    <row r="8" spans="1:10" ht="57.95" customHeight="1">
      <c r="C8" s="138"/>
      <c r="D8" s="142"/>
      <c r="E8" s="142"/>
      <c r="F8" s="97"/>
      <c r="G8" s="97"/>
    </row>
    <row r="9" spans="1:10" ht="19.5" customHeight="1">
      <c r="B9" s="88">
        <f t="array" ref="B9:H9">요일및주+DATE(달력연도,9,1)-WEEKDAY(DATE(달력연도,9,1),(주시작="월요일")+1)+22</f>
        <v>45921</v>
      </c>
      <c r="C9" s="80">
        <v>45922</v>
      </c>
      <c r="D9" s="80">
        <v>45923</v>
      </c>
      <c r="E9" s="80">
        <v>45924</v>
      </c>
      <c r="F9" s="80">
        <v>45925</v>
      </c>
      <c r="G9" s="80">
        <v>45926</v>
      </c>
      <c r="H9" s="90">
        <v>45927</v>
      </c>
    </row>
    <row r="10" spans="1:10" ht="57.95" customHeight="1">
      <c r="B10" s="360"/>
      <c r="C10" s="91"/>
      <c r="D10" s="92"/>
      <c r="E10" s="92"/>
      <c r="F10" s="105"/>
      <c r="G10" s="93"/>
      <c r="H10" s="360"/>
    </row>
    <row r="11" spans="1:10" ht="19.5" customHeight="1">
      <c r="B11" s="87">
        <f t="array" ref="B11:H11">요일및주+DATE(달력연도,9,1)-WEEKDAY(DATE(달력연도,9,1),(주시작="월요일")+1)+29</f>
        <v>45928</v>
      </c>
      <c r="C11" s="74">
        <v>45929</v>
      </c>
      <c r="D11" s="74">
        <v>45930</v>
      </c>
      <c r="E11" s="74">
        <v>45931</v>
      </c>
      <c r="F11" s="74">
        <v>45932</v>
      </c>
      <c r="G11" s="74">
        <v>45933</v>
      </c>
      <c r="H11" s="74">
        <v>45934</v>
      </c>
    </row>
    <row r="12" spans="1:10" ht="57.95" customHeight="1">
      <c r="C12" s="104"/>
    </row>
    <row r="13" spans="1:10" ht="19.5" customHeight="1">
      <c r="B13" s="80">
        <f t="array" ref="B13:C13">요일및주+DATE(달력연도,9,1)-WEEKDAY(DATE(달력연도,9,1),(주시작="월요일")+1)+36</f>
        <v>45935</v>
      </c>
      <c r="C13" s="80">
        <v>45936</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7" priority="1">
      <formula>DAY(B3)&gt;8</formula>
    </cfRule>
  </conditionalFormatting>
  <conditionalFormatting sqref="B11:H11 B13:C13">
    <cfRule type="expression" dxfId="6" priority="2">
      <formula>AND(DAY(B11)&gt;=1,DAY(B11)&lt;=15)</formula>
    </cfRule>
  </conditionalFormatting>
  <dataValidations count="8">
    <dataValidation allowBlank="1" showInputMessage="1" showErrorMessage="1" prompt="자동으로 결정된 평일입니다." sqref="C2:H2" xr:uid="{ED9A5CD0-DD80-E54D-B12E-5548ED0FCF48}"/>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F53F0BB8-B5A9-A642-8EA8-1F74629DA111}"/>
    <dataValidation allowBlank="1" showInputMessage="1" showErrorMessage="1" prompt="오른쪽 셀에 메모를 입력합니다." sqref="D13:D14" xr:uid="{374C5016-26EB-9F40-8169-FC3AFBF77EF2}"/>
    <dataValidation allowBlank="1" showInputMessage="1" showErrorMessage="1" prompt="이 셀에 메모를 입력합니다." sqref="E13:H14" xr:uid="{C0E6151C-AC5A-7748-9C89-722AA1AA4CE6}"/>
    <dataValidation allowBlank="1" showInputMessage="1" showErrorMessage="1" prompt="이 행과 6, 8, 10, 12, 14 행은 위의 셀에 있는 날짜와 관련된 일별 메모를 입력하는 셀입니다." sqref="B4" xr:uid="{B5CC0648-E263-DE40-AD5E-9A3F19D06B34}"/>
    <dataValidation allowBlank="1" showInputMessage="1" showErrorMessage="1" prompt="이 셀의 연도는 1월 워크시트에 입력한 연도에 따라 자동으로 업데이트됩니다. 아래 달력에는 이전 달과 다음 달의 날짜가 연한 글꼴 음영으로 표시됩니다." sqref="B1:D1" xr:uid="{6F76C909-6023-3848-B2A9-75EA3F924C22}"/>
    <dataValidation allowBlank="1" showInputMessage="1" showErrorMessage="1" prompt="9월 한 달 일정" sqref="A1" xr:uid="{74E4F96B-E0C7-994F-B020-F9685DB8D8B0}"/>
    <dataValidation allowBlank="1" showInputMessage="1" showErrorMessage="1" prompt="이 행과 5, 7, 9, 11, 13행에는 해당 주의 날짜가 표시됩니다. 이 셀에 숫자 1이 없는 경우에는 이전 달의 날짜가 표시됩니다. E13 셀에 메모를 입력합니다." sqref="B3" xr:uid="{E23F81E0-AB86-CA45-8C82-28C40524E23D}"/>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D18B8-F10C-4B2B-8C96-38285DF2A12A}">
  <sheetPr>
    <tabColor theme="2" tint="-0.499984740745262"/>
    <pageSetUpPr fitToPage="1"/>
  </sheetPr>
  <dimension ref="A1:J14"/>
  <sheetViews>
    <sheetView showGridLines="0" workbookViewId="0">
      <selection activeCell="J4" sqref="J4"/>
    </sheetView>
  </sheetViews>
  <sheetFormatPr defaultColWidth="8.5" defaultRowHeight="16.5"/>
  <cols>
    <col min="1" max="1" width="2.5" style="65" customWidth="1"/>
    <col min="2" max="2" width="17.875" style="65" customWidth="1"/>
    <col min="3" max="3" width="19.125" style="65" customWidth="1"/>
    <col min="4" max="4" width="20.375" style="65" customWidth="1"/>
    <col min="5" max="5" width="22" style="65" customWidth="1"/>
    <col min="6" max="6" width="19.125" style="65" customWidth="1"/>
    <col min="7" max="7" width="20.125" style="65" customWidth="1"/>
    <col min="8" max="8" width="17.375" style="65" customWidth="1"/>
    <col min="9" max="9" width="2.5" style="65" customWidth="1"/>
    <col min="10" max="10" width="16.875" style="65" customWidth="1"/>
    <col min="11" max="16384" width="8.5" style="65"/>
  </cols>
  <sheetData>
    <row r="1" spans="1:10" ht="60" customHeight="1">
      <c r="B1" s="365" t="str">
        <f>달력연도&amp;"년"&amp;" 10월"</f>
        <v>2025년 10월</v>
      </c>
      <c r="C1" s="365"/>
      <c r="D1" s="365"/>
      <c r="E1" s="66"/>
      <c r="F1" s="66"/>
      <c r="G1" s="66"/>
      <c r="H1" s="79"/>
    </row>
    <row r="2" spans="1:10"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0" ht="19.5" customHeight="1">
      <c r="B3" s="74">
        <f t="array" ref="B3:H3">요일및주+DATE(달력연도,10,1)-WEEKDAY(DATE(달력연도,10,1),(주시작="월요일")+1)+1</f>
        <v>45928</v>
      </c>
      <c r="C3" s="74">
        <v>45929</v>
      </c>
      <c r="D3" s="87">
        <v>45930</v>
      </c>
      <c r="E3" s="74">
        <v>45931</v>
      </c>
      <c r="F3" s="143">
        <v>45932</v>
      </c>
      <c r="G3" s="87">
        <v>45933</v>
      </c>
      <c r="H3" s="84">
        <v>45934</v>
      </c>
    </row>
    <row r="4" spans="1:10" ht="108.95" customHeight="1">
      <c r="D4" s="138"/>
      <c r="E4" s="103"/>
      <c r="F4" s="145"/>
      <c r="G4" s="95" t="s">
        <v>2133</v>
      </c>
      <c r="J4" s="327" t="s">
        <v>2131</v>
      </c>
    </row>
    <row r="5" spans="1:10" ht="19.5" customHeight="1">
      <c r="B5" s="88">
        <f t="array" ref="B5:H5">요일및주+DATE(달력연도,10,1)-WEEKDAY(DATE(달력연도,10,1),(주시작="월요일")+1)+8</f>
        <v>45935</v>
      </c>
      <c r="C5" s="88">
        <v>45936</v>
      </c>
      <c r="D5" s="88">
        <v>45937</v>
      </c>
      <c r="E5" s="88">
        <v>45938</v>
      </c>
      <c r="F5" s="88">
        <v>45939</v>
      </c>
      <c r="G5" s="80">
        <v>45940</v>
      </c>
      <c r="H5" s="90">
        <v>45941</v>
      </c>
      <c r="J5" s="328" t="s">
        <v>2038</v>
      </c>
    </row>
    <row r="6" spans="1:10" ht="89.25" customHeight="1">
      <c r="B6" s="94" t="s">
        <v>2134</v>
      </c>
      <c r="C6" s="144" t="s">
        <v>2135</v>
      </c>
      <c r="D6" s="144" t="s">
        <v>2134</v>
      </c>
      <c r="E6" s="94" t="s">
        <v>2076</v>
      </c>
      <c r="F6" s="144" t="s">
        <v>2136</v>
      </c>
      <c r="G6" s="92"/>
      <c r="H6" s="360"/>
      <c r="J6" s="326" t="s">
        <v>2130</v>
      </c>
    </row>
    <row r="7" spans="1:10" ht="19.5" customHeight="1">
      <c r="B7" s="87">
        <f t="array" ref="B7:H7">요일및주+DATE(달력연도,10,1)-WEEKDAY(DATE(달력연도,10,1),(주시작="월요일")+1)+15</f>
        <v>45942</v>
      </c>
      <c r="C7" s="74">
        <v>45943</v>
      </c>
      <c r="D7" s="74">
        <v>45944</v>
      </c>
      <c r="E7" s="74">
        <v>45945</v>
      </c>
      <c r="F7" s="74">
        <v>45946</v>
      </c>
      <c r="G7" s="74">
        <v>45947</v>
      </c>
      <c r="H7" s="84">
        <v>45948</v>
      </c>
    </row>
    <row r="8" spans="1:10" ht="81" customHeight="1">
      <c r="C8" s="103"/>
      <c r="D8" s="120"/>
      <c r="E8" s="103"/>
    </row>
    <row r="9" spans="1:10" ht="19.5" customHeight="1">
      <c r="B9" s="88">
        <f t="array" ref="B9:H9">요일및주+DATE(달력연도,10,1)-WEEKDAY(DATE(달력연도,10,1),(주시작="월요일")+1)+22</f>
        <v>45949</v>
      </c>
      <c r="C9" s="80">
        <v>45950</v>
      </c>
      <c r="D9" s="80">
        <v>45951</v>
      </c>
      <c r="E9" s="80">
        <v>45952</v>
      </c>
      <c r="F9" s="80">
        <v>45953</v>
      </c>
      <c r="G9" s="80">
        <v>45954</v>
      </c>
      <c r="H9" s="90">
        <v>45955</v>
      </c>
    </row>
    <row r="10" spans="1:10" ht="57.95" customHeight="1">
      <c r="B10" s="360"/>
      <c r="C10" s="93"/>
      <c r="D10" s="93"/>
      <c r="E10" s="92"/>
      <c r="F10" s="92"/>
      <c r="G10" s="360"/>
      <c r="H10" s="360"/>
    </row>
    <row r="11" spans="1:10" ht="19.5" customHeight="1">
      <c r="B11" s="87">
        <f t="array" ref="B11:H11">요일및주+DATE(달력연도,10,1)-WEEKDAY(DATE(달력연도,10,1),(주시작="월요일")+1)+29</f>
        <v>45956</v>
      </c>
      <c r="C11" s="74">
        <v>45957</v>
      </c>
      <c r="D11" s="74">
        <v>45958</v>
      </c>
      <c r="E11" s="74">
        <v>45959</v>
      </c>
      <c r="F11" s="74">
        <v>45960</v>
      </c>
      <c r="G11" s="74">
        <v>45961</v>
      </c>
      <c r="H11" s="74">
        <v>45962</v>
      </c>
    </row>
    <row r="12" spans="1:10" ht="57.95" customHeight="1">
      <c r="C12" s="107"/>
      <c r="D12" s="104"/>
      <c r="E12" s="104"/>
      <c r="F12" s="103"/>
    </row>
    <row r="13" spans="1:10" ht="19.5" customHeight="1">
      <c r="B13" s="80">
        <f t="array" ref="B13:C13">요일및주+DATE(달력연도,10,1)-WEEKDAY(DATE(달력연도,10,1),(주시작="월요일")+1)+36</f>
        <v>45963</v>
      </c>
      <c r="C13" s="80">
        <v>45964</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5" priority="1">
      <formula>DAY(B3)&gt;8</formula>
    </cfRule>
  </conditionalFormatting>
  <conditionalFormatting sqref="B11:H11 B13:C13">
    <cfRule type="expression" dxfId="4" priority="2">
      <formula>AND(DAY(B11)&gt;=1,DAY(B11)&lt;=15)</formula>
    </cfRule>
  </conditionalFormatting>
  <dataValidations count="8">
    <dataValidation allowBlank="1" showInputMessage="1" showErrorMessage="1" prompt="자동으로 결정된 평일입니다." sqref="C2:H2" xr:uid="{6DC8FA41-C373-C345-82DC-2A8B48052BE0}"/>
    <dataValidation allowBlank="1" showInputMessage="1" showErrorMessage="1" prompt="10월 한 달 일정" sqref="A1" xr:uid="{C27C7D98-9B58-0544-B0AD-0EDE41B251CA}"/>
    <dataValidation allowBlank="1" showInputMessage="1" showErrorMessage="1" prompt="오른쪽 셀에 메모를 입력합니다." sqref="D13:D14" xr:uid="{30498FE7-8FFE-8148-9F36-5707331D4FCA}"/>
    <dataValidation allowBlank="1" showInputMessage="1" showErrorMessage="1" prompt="이 셀에 메모를 입력합니다." sqref="E13:H14" xr:uid="{90117682-BACA-5145-B012-3E2EDA4DA62D}"/>
    <dataValidation allowBlank="1" showInputMessage="1" showErrorMessage="1" prompt="이 행과 6, 8, 10, 12, 14 행은 위의 셀에 있는 날짜와 관련된 일별 메모를 입력하는 셀입니다." sqref="B4" xr:uid="{4F70434C-AD76-ED47-86AF-0C3FD20F0A50}"/>
    <dataValidation allowBlank="1" showInputMessage="1" showErrorMessage="1" prompt="이 셀의 연도는 1월 워크시트에 입력한 연도에 따라 자동으로 업데이트됩니다. 아래 달력에는 이전 달과 다음 달의 날짜가 연한 글꼴 음영으로 표시됩니다." sqref="B1:D1" xr:uid="{6FB9D6C0-87D4-AE45-93B9-3B9974F8B1B2}"/>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EA6493FD-22FB-824E-AF92-62FDA7BDCD64}"/>
    <dataValidation allowBlank="1" showInputMessage="1" showErrorMessage="1" prompt="이 행과 5, 7, 9, 11, 13행에는 해당 주의 날짜가 표시됩니다. 이 셀에 숫자 1이 없는 경우에는 이전 달의 날짜가 표시됩니다. E13 셀에 메모를 입력합니다." sqref="B3" xr:uid="{62A975B6-53A9-DE45-8167-CDFBACB2DDB3}"/>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FE4A-840A-43D9-A542-2D9C9C10C5BA}">
  <sheetPr>
    <tabColor theme="2" tint="-0.89999084444715716"/>
    <pageSetUpPr fitToPage="1"/>
  </sheetPr>
  <dimension ref="A1:J14"/>
  <sheetViews>
    <sheetView showGridLines="0" workbookViewId="0">
      <selection activeCell="J4" sqref="J4"/>
    </sheetView>
  </sheetViews>
  <sheetFormatPr defaultColWidth="8.5" defaultRowHeight="16.5"/>
  <cols>
    <col min="1" max="1" width="2.5" style="65" customWidth="1"/>
    <col min="2" max="2" width="17.875" style="65" customWidth="1"/>
    <col min="3" max="3" width="17.375" style="65" customWidth="1"/>
    <col min="4" max="4" width="20.125" style="65" bestFit="1" customWidth="1"/>
    <col min="5" max="5" width="19.125" style="65" customWidth="1"/>
    <col min="6" max="6" width="18.625" style="65" customWidth="1"/>
    <col min="7" max="7" width="21.625" style="65" customWidth="1"/>
    <col min="8" max="8" width="17.375" style="65" customWidth="1"/>
    <col min="9" max="9" width="2.5" style="65" customWidth="1"/>
    <col min="10" max="10" width="16.875" style="65" customWidth="1"/>
    <col min="11" max="16384" width="8.5" style="65"/>
  </cols>
  <sheetData>
    <row r="1" spans="1:10" ht="60" customHeight="1">
      <c r="B1" s="365" t="str">
        <f>달력연도&amp;"년"&amp;" 11월"</f>
        <v>2025년 11월</v>
      </c>
      <c r="C1" s="365"/>
      <c r="D1" s="365"/>
      <c r="E1" s="66"/>
      <c r="F1" s="66"/>
      <c r="G1" s="66"/>
      <c r="H1" s="79"/>
    </row>
    <row r="2" spans="1:10" s="81" customFormat="1" ht="21.75" customHeight="1" thickBot="1">
      <c r="A2" s="65"/>
      <c r="B2" s="69" t="str">
        <f>IF(주시작="일요일", "일요일","월요일")</f>
        <v>일요일</v>
      </c>
      <c r="C2" s="69" t="str">
        <f t="shared" ref="C2:H2" si="0">UPPER(TEXT(C3,"aaaa"))</f>
        <v>월요일</v>
      </c>
      <c r="D2" s="69" t="str">
        <f t="shared" si="0"/>
        <v>화요일</v>
      </c>
      <c r="E2" s="69" t="str">
        <f t="shared" si="0"/>
        <v>수요일</v>
      </c>
      <c r="F2" s="69" t="str">
        <f t="shared" si="0"/>
        <v>목요일</v>
      </c>
      <c r="G2" s="69" t="str">
        <f t="shared" si="0"/>
        <v>금요일</v>
      </c>
      <c r="H2" s="69" t="str">
        <f t="shared" si="0"/>
        <v>토요일</v>
      </c>
    </row>
    <row r="3" spans="1:10" ht="19.5" customHeight="1">
      <c r="B3" s="74">
        <f t="array" ref="B3:H3">요일및주+DATE(달력연도,11,1)-WEEKDAY(DATE(달력연도,11,1),(주시작="월요일")+1)+1</f>
        <v>45956</v>
      </c>
      <c r="C3" s="74">
        <v>45957</v>
      </c>
      <c r="D3" s="74">
        <v>45958</v>
      </c>
      <c r="E3" s="74">
        <v>45959</v>
      </c>
      <c r="F3" s="74">
        <v>45960</v>
      </c>
      <c r="G3" s="74">
        <v>45961</v>
      </c>
      <c r="H3" s="84">
        <v>45962</v>
      </c>
    </row>
    <row r="4" spans="1:10" ht="104.25" customHeight="1">
      <c r="G4" s="103"/>
      <c r="J4" s="327" t="s">
        <v>2131</v>
      </c>
    </row>
    <row r="5" spans="1:10" ht="19.5" customHeight="1">
      <c r="B5" s="88">
        <f t="array" ref="B5:H5">요일및주+DATE(달력연도,11,1)-WEEKDAY(DATE(달력연도,11,1),(주시작="월요일")+1)+8</f>
        <v>45963</v>
      </c>
      <c r="C5" s="80">
        <v>45964</v>
      </c>
      <c r="D5" s="80">
        <v>45965</v>
      </c>
      <c r="E5" s="80">
        <v>45966</v>
      </c>
      <c r="F5" s="80">
        <v>45967</v>
      </c>
      <c r="G5" s="80">
        <v>45968</v>
      </c>
      <c r="H5" s="90">
        <v>45969</v>
      </c>
      <c r="J5" s="328" t="s">
        <v>2038</v>
      </c>
    </row>
    <row r="6" spans="1:10" ht="87" customHeight="1">
      <c r="B6" s="360"/>
      <c r="C6" s="113"/>
      <c r="D6" s="113"/>
      <c r="E6" s="92"/>
      <c r="F6" s="92"/>
      <c r="G6" s="92"/>
      <c r="H6" s="117"/>
      <c r="J6" s="326" t="s">
        <v>2130</v>
      </c>
    </row>
    <row r="7" spans="1:10" ht="19.5" customHeight="1">
      <c r="B7" s="87">
        <f t="array" ref="B7:H7">요일및주+DATE(달력연도,11,1)-WEEKDAY(DATE(달력연도,11,1),(주시작="월요일")+1)+15</f>
        <v>45970</v>
      </c>
      <c r="C7" s="74">
        <v>45971</v>
      </c>
      <c r="D7" s="74">
        <v>45972</v>
      </c>
      <c r="E7" s="74">
        <v>45973</v>
      </c>
      <c r="F7" s="74">
        <v>45974</v>
      </c>
      <c r="G7" s="74">
        <v>45975</v>
      </c>
      <c r="H7" s="84">
        <v>45976</v>
      </c>
    </row>
    <row r="8" spans="1:10" ht="68.25" customHeight="1">
      <c r="C8" s="103"/>
      <c r="D8" s="103"/>
      <c r="E8" s="103"/>
      <c r="F8" s="103"/>
      <c r="G8" s="103"/>
    </row>
    <row r="9" spans="1:10" ht="19.5" customHeight="1">
      <c r="B9" s="88">
        <f t="array" ref="B9:H9">요일및주+DATE(달력연도,11,1)-WEEKDAY(DATE(달력연도,11,1),(주시작="월요일")+1)+22</f>
        <v>45977</v>
      </c>
      <c r="C9" s="80">
        <v>45978</v>
      </c>
      <c r="D9" s="80">
        <v>45979</v>
      </c>
      <c r="E9" s="80">
        <v>45980</v>
      </c>
      <c r="F9" s="80">
        <v>45981</v>
      </c>
      <c r="G9" s="80">
        <v>45982</v>
      </c>
      <c r="H9" s="90">
        <v>45983</v>
      </c>
    </row>
    <row r="10" spans="1:10" ht="57.95" customHeight="1">
      <c r="B10" s="360"/>
      <c r="C10" s="93"/>
      <c r="D10" s="93"/>
      <c r="E10" s="93"/>
      <c r="F10" s="93"/>
      <c r="G10" s="93"/>
      <c r="H10" s="360"/>
    </row>
    <row r="11" spans="1:10" ht="19.5" customHeight="1">
      <c r="B11" s="87">
        <f t="array" ref="B11:H11">요일및주+DATE(달력연도,11,1)-WEEKDAY(DATE(달력연도,11,1),(주시작="월요일")+1)+29</f>
        <v>45984</v>
      </c>
      <c r="C11" s="74">
        <v>45985</v>
      </c>
      <c r="D11" s="74">
        <v>45986</v>
      </c>
      <c r="E11" s="74">
        <v>45987</v>
      </c>
      <c r="F11" s="74">
        <v>45988</v>
      </c>
      <c r="G11" s="74">
        <v>45989</v>
      </c>
      <c r="H11" s="84">
        <v>45990</v>
      </c>
    </row>
    <row r="12" spans="1:10" ht="57.95" customHeight="1">
      <c r="C12" s="107"/>
      <c r="D12" s="102"/>
      <c r="E12" s="103"/>
    </row>
    <row r="13" spans="1:10" ht="19.5" customHeight="1">
      <c r="B13" s="80">
        <f t="array" ref="B13:C13">요일및주+DATE(달력연도,11,1)-WEEKDAY(DATE(달력연도,11,1),(주시작="월요일")+1)+36</f>
        <v>45991</v>
      </c>
      <c r="C13" s="80">
        <v>45992</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3" priority="1">
      <formula>DAY(B3)&gt;8</formula>
    </cfRule>
  </conditionalFormatting>
  <conditionalFormatting sqref="B11:H11 B13:C13">
    <cfRule type="expression" dxfId="2" priority="2">
      <formula>AND(DAY(B11)&gt;=1,DAY(B11)&lt;=15)</formula>
    </cfRule>
  </conditionalFormatting>
  <dataValidations count="8">
    <dataValidation allowBlank="1" showInputMessage="1" showErrorMessage="1" prompt="자동으로 결정된 평일입니다." sqref="C2:H2" xr:uid="{DA8ADC7F-9D6F-3A4F-9652-843616B36622}"/>
    <dataValidation allowBlank="1" showInputMessage="1" showErrorMessage="1" prompt="11월 한 달 일정" sqref="A1" xr:uid="{24B802F6-5468-8048-AA7F-11376F0FF4DB}"/>
    <dataValidation allowBlank="1" showInputMessage="1" showErrorMessage="1" prompt="오른쪽 셀에 메모를 입력합니다." sqref="D13:D14" xr:uid="{F0952CBA-C935-8A49-91C6-E7CFBB46F0EB}"/>
    <dataValidation allowBlank="1" showInputMessage="1" showErrorMessage="1" prompt="이 셀에 메모를 입력합니다." sqref="E13:H14" xr:uid="{911D5C6B-7092-704F-9C41-DD76C3C8BBEB}"/>
    <dataValidation allowBlank="1" showInputMessage="1" showErrorMessage="1" prompt="이 행과 6, 8, 10, 12, 14 행은 위의 셀에 있는 날짜와 관련된 일별 메모를 입력하는 셀입니다." sqref="B4" xr:uid="{55E2E410-29B4-3247-A4EF-3F30C332C0B3}"/>
    <dataValidation allowBlank="1" showInputMessage="1" showErrorMessage="1" prompt="이 셀의 연도는 1월 워크시트에 입력한 연도에 따라 자동으로 업데이트됩니다. 아래 달력에는 이전 달과 다음 달의 날짜가 연한 글꼴 음영으로 표시됩니다." sqref="B1:D1" xr:uid="{9CDA5737-53AE-D946-9D30-C814AE7F675C}"/>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C614BF38-B42C-E647-9954-6BFA3BCB696D}"/>
    <dataValidation allowBlank="1" showInputMessage="1" showErrorMessage="1" prompt="이 행과 5, 7, 9, 11, 13행에는 해당 주의 날짜가 표시됩니다. 이 셀에 숫자 1이 없는 경우에는 이전 달의 날짜가 표시됩니다. E13 셀에 메모를 입력합니다." sqref="B3" xr:uid="{E4FE091E-7F0F-4F49-AFB3-B15E39074F85}"/>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C2DC-9B62-4F0D-83A4-5AC4AC94F633}">
  <sheetPr>
    <tabColor theme="1" tint="4.9989318521683403E-2"/>
    <pageSetUpPr fitToPage="1"/>
  </sheetPr>
  <dimension ref="A1:J14"/>
  <sheetViews>
    <sheetView showGridLines="0" workbookViewId="0">
      <selection activeCell="J4" sqref="J4"/>
    </sheetView>
  </sheetViews>
  <sheetFormatPr defaultColWidth="8.5" defaultRowHeight="16.5"/>
  <cols>
    <col min="1" max="1" width="2.5" style="65" customWidth="1"/>
    <col min="2" max="2" width="17.875" style="65" customWidth="1"/>
    <col min="3" max="8" width="17.375" style="65" customWidth="1"/>
    <col min="9" max="9" width="2.5" style="65" customWidth="1"/>
    <col min="10" max="10" width="17.375" style="65" customWidth="1"/>
    <col min="11" max="16384" width="8.5" style="65"/>
  </cols>
  <sheetData>
    <row r="1" spans="1:10" ht="60" customHeight="1">
      <c r="B1" s="365" t="str">
        <f>달력연도&amp;"년"&amp;" 12월"</f>
        <v>2025년 12월</v>
      </c>
      <c r="C1" s="365"/>
      <c r="D1" s="365"/>
      <c r="E1" s="66"/>
      <c r="F1" s="66"/>
      <c r="G1" s="66"/>
      <c r="H1" s="79"/>
    </row>
    <row r="2" spans="1:10" s="81" customFormat="1" ht="21.75" customHeight="1" thickBot="1">
      <c r="A2" s="65"/>
      <c r="B2" s="83" t="str">
        <f>IF(주시작="일요일", "일요일","월요일")</f>
        <v>일요일</v>
      </c>
      <c r="C2" s="82" t="str">
        <f t="shared" ref="C2:H2" si="0">UPPER(TEXT(C3,"aaaa"))</f>
        <v>월요일</v>
      </c>
      <c r="D2" s="82" t="str">
        <f t="shared" si="0"/>
        <v>화요일</v>
      </c>
      <c r="E2" s="82" t="str">
        <f t="shared" si="0"/>
        <v>수요일</v>
      </c>
      <c r="F2" s="82" t="str">
        <f t="shared" si="0"/>
        <v>목요일</v>
      </c>
      <c r="G2" s="82" t="str">
        <f t="shared" si="0"/>
        <v>금요일</v>
      </c>
      <c r="H2" s="89" t="str">
        <f t="shared" si="0"/>
        <v>토요일</v>
      </c>
    </row>
    <row r="3" spans="1:10" ht="19.5" customHeight="1">
      <c r="B3" s="87">
        <f t="array" ref="B3:H3">요일및주+DATE(달력연도,12,1)-WEEKDAY(DATE(달력연도,12,1),(주시작="월요일")+1)+1</f>
        <v>45991</v>
      </c>
      <c r="C3" s="74">
        <v>45992</v>
      </c>
      <c r="D3" s="74">
        <v>45993</v>
      </c>
      <c r="E3" s="74">
        <v>45994</v>
      </c>
      <c r="F3" s="74">
        <v>45995</v>
      </c>
      <c r="G3" s="74">
        <v>45996</v>
      </c>
      <c r="H3" s="84">
        <v>45997</v>
      </c>
    </row>
    <row r="4" spans="1:10" ht="69" customHeight="1">
      <c r="C4" s="103"/>
      <c r="D4" s="122"/>
      <c r="E4" s="103"/>
      <c r="F4" s="103"/>
      <c r="G4" s="103"/>
      <c r="J4" s="327" t="s">
        <v>2131</v>
      </c>
    </row>
    <row r="5" spans="1:10" ht="19.5" customHeight="1">
      <c r="B5" s="88">
        <f t="array" ref="B5:H5">요일및주+DATE(달력연도,12,1)-WEEKDAY(DATE(달력연도,12,1),(주시작="월요일")+1)+8</f>
        <v>45998</v>
      </c>
      <c r="C5" s="80">
        <v>45999</v>
      </c>
      <c r="D5" s="80">
        <v>46000</v>
      </c>
      <c r="E5" s="80">
        <v>46001</v>
      </c>
      <c r="F5" s="80">
        <v>46002</v>
      </c>
      <c r="G5" s="80">
        <v>46003</v>
      </c>
      <c r="H5" s="90">
        <v>46004</v>
      </c>
      <c r="J5" s="328" t="s">
        <v>2038</v>
      </c>
    </row>
    <row r="6" spans="1:10" ht="57.95" customHeight="1">
      <c r="B6" s="360"/>
      <c r="C6" s="93"/>
      <c r="D6" s="92"/>
      <c r="E6" s="92"/>
      <c r="F6" s="91"/>
      <c r="G6" s="92"/>
      <c r="H6" s="360"/>
      <c r="J6" s="326" t="s">
        <v>2130</v>
      </c>
    </row>
    <row r="7" spans="1:10" ht="19.5" customHeight="1">
      <c r="B7" s="87">
        <f t="array" ref="B7:H7">요일및주+DATE(달력연도,12,1)-WEEKDAY(DATE(달력연도,12,1),(주시작="월요일")+1)+15</f>
        <v>46005</v>
      </c>
      <c r="C7" s="74">
        <v>46006</v>
      </c>
      <c r="D7" s="74">
        <v>46007</v>
      </c>
      <c r="E7" s="74">
        <v>46008</v>
      </c>
      <c r="F7" s="74">
        <v>46009</v>
      </c>
      <c r="G7" s="74">
        <v>46010</v>
      </c>
      <c r="H7" s="84">
        <v>46011</v>
      </c>
    </row>
    <row r="8" spans="1:10" ht="57.95" customHeight="1"/>
    <row r="9" spans="1:10" ht="19.5" customHeight="1">
      <c r="B9" s="88">
        <f t="array" ref="B9:H9">요일및주+DATE(달력연도,12,1)-WEEKDAY(DATE(달력연도,12,1),(주시작="월요일")+1)+22</f>
        <v>46012</v>
      </c>
      <c r="C9" s="80">
        <v>46013</v>
      </c>
      <c r="D9" s="80">
        <v>46014</v>
      </c>
      <c r="E9" s="141">
        <v>46015</v>
      </c>
      <c r="F9" s="88">
        <v>46016</v>
      </c>
      <c r="G9" s="80">
        <v>46017</v>
      </c>
      <c r="H9" s="90">
        <v>46018</v>
      </c>
    </row>
    <row r="10" spans="1:10" ht="57.95" customHeight="1">
      <c r="B10" s="360"/>
      <c r="C10" s="121"/>
      <c r="D10" s="360"/>
      <c r="E10" s="146"/>
      <c r="F10" s="94" t="s">
        <v>2137</v>
      </c>
      <c r="G10" s="360"/>
      <c r="H10" s="360"/>
    </row>
    <row r="11" spans="1:10" ht="19.5" customHeight="1">
      <c r="B11" s="87">
        <f t="array" ref="B11:H11">요일및주+DATE(달력연도,12,1)-WEEKDAY(DATE(달력연도,12,1),(주시작="월요일")+1)+29</f>
        <v>46019</v>
      </c>
      <c r="C11" s="74">
        <v>46020</v>
      </c>
      <c r="D11" s="74">
        <v>46021</v>
      </c>
      <c r="E11" s="74">
        <v>46022</v>
      </c>
      <c r="F11" s="74">
        <v>46023</v>
      </c>
      <c r="G11" s="74">
        <v>46024</v>
      </c>
      <c r="H11" s="74">
        <v>46025</v>
      </c>
    </row>
    <row r="12" spans="1:10" ht="57.95" customHeight="1"/>
    <row r="13" spans="1:10" ht="19.5" customHeight="1">
      <c r="B13" s="80">
        <f t="array" ref="B13:C13">요일및주+DATE(달력연도,12,1)-WEEKDAY(DATE(달력연도,12,1),(주시작="월요일")+1)+36</f>
        <v>46026</v>
      </c>
      <c r="C13" s="80">
        <v>46027</v>
      </c>
      <c r="D13" s="366" t="s">
        <v>2055</v>
      </c>
      <c r="E13" s="367"/>
      <c r="F13" s="367"/>
      <c r="G13" s="367"/>
      <c r="H13" s="367"/>
    </row>
    <row r="14" spans="1:10" ht="57.95" customHeight="1">
      <c r="B14" s="360"/>
      <c r="C14" s="360"/>
      <c r="D14" s="366"/>
      <c r="E14" s="367"/>
      <c r="F14" s="367"/>
      <c r="G14" s="367"/>
      <c r="H14" s="367"/>
    </row>
  </sheetData>
  <mergeCells count="3">
    <mergeCell ref="B1:D1"/>
    <mergeCell ref="D13:D14"/>
    <mergeCell ref="E13:H14"/>
  </mergeCells>
  <phoneticPr fontId="11" type="noConversion"/>
  <conditionalFormatting sqref="B3:G3">
    <cfRule type="expression" dxfId="1" priority="1">
      <formula>DAY(B3)&gt;8</formula>
    </cfRule>
  </conditionalFormatting>
  <conditionalFormatting sqref="B11:H11 B13:C13">
    <cfRule type="expression" dxfId="0" priority="2">
      <formula>AND(DAY(B11)&gt;=1,DAY(B11)&lt;=15)</formula>
    </cfRule>
  </conditionalFormatting>
  <dataValidations count="8">
    <dataValidation allowBlank="1" showInputMessage="1" showErrorMessage="1" prompt="자동으로 결정된 평일입니다." sqref="C2:H2" xr:uid="{228FADAF-61C1-AE4F-927E-BA49BD34B121}"/>
    <dataValidation allowBlank="1" showInputMessage="1" showErrorMessage="1" prompt="12월 한 달 일정" sqref="A1" xr:uid="{7C249BB3-3D5B-EB4A-B4EF-E1CCD2429CAF}"/>
    <dataValidation allowBlank="1" showInputMessage="1" showErrorMessage="1" prompt="오른쪽 셀에 메모를 입력합니다." sqref="D13:D14" xr:uid="{FEFE35AE-3140-B842-8DFB-DD08E54A50C2}"/>
    <dataValidation allowBlank="1" showInputMessage="1" showErrorMessage="1" prompt="이 셀에 메모를 입력합니다." sqref="E13:H14" xr:uid="{CE594A27-30A4-794B-A534-D6E3F38C4124}"/>
    <dataValidation allowBlank="1" showInputMessage="1" showErrorMessage="1" prompt="이 행과 6, 8, 10, 12, 14 행은 위의 셀에 있는 날짜와 관련된 일별 메모를 입력하는 셀입니다." sqref="B4" xr:uid="{958FFBBB-6817-BF4D-8E13-BB20EAC1FB5C}"/>
    <dataValidation allowBlank="1" showInputMessage="1" showErrorMessage="1" prompt="이 셀의 연도는 1월 워크시트에 입력한 연도에 따라 자동으로 업데이트됩니다. 아래 달력에는 이전 달과 다음 달의 날짜가 연한 글꼴 음영으로 표시됩니다." sqref="B1:D1" xr:uid="{9761EE86-14DC-A841-9BD6-F6CE4F68566B}"/>
    <dataValidation allowBlank="1" showInputMessage="1" showErrorMessage="1" prompt="이 행에는 이 달력의 요일 이름이 표시됩니다. 이 셀에는 주의 시작 요일이 표시됩니다. 시작 요일을 변경하려면 1월 워크시트의 셀 K3에 새 요일을 선택하세요." sqref="B2" xr:uid="{07944591-76E9-4A46-94DC-381357D59546}"/>
    <dataValidation allowBlank="1" showInputMessage="1" showErrorMessage="1" prompt="이 행과 5, 7, 9, 11, 13행에는 해당 주의 날짜가 표시됩니다. 이 셀에 숫자 1이 없는 경우에는 이전 달의 날짜가 표시됩니다. E13 셀에 메모를 입력합니다." sqref="B3" xr:uid="{264144C5-3DD7-8D4B-AD44-94907DBF3B3E}"/>
  </dataValidations>
  <printOptions horizontalCentered="1" verticalCentered="1"/>
  <pageMargins left="0.7" right="0.7" top="0.75" bottom="0.75" header="0.3" footer="0.3"/>
  <pageSetup paperSize="9" scale="88"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 지정된 범위</vt:lpstr>
      </vt:variant>
      <vt:variant>
        <vt:i4>141</vt:i4>
      </vt:variant>
    </vt:vector>
  </HeadingPairs>
  <TitlesOfParts>
    <vt:vector size="163" baseType="lpstr">
      <vt:lpstr>NICOM_처리리스트</vt:lpstr>
      <vt:lpstr>NICOM_유지보수_통계</vt:lpstr>
      <vt:lpstr>25년원콜지원센터통합</vt:lpstr>
      <vt:lpstr>세종시_KLAS 처리리스트</vt:lpstr>
      <vt:lpstr>6월</vt:lpstr>
      <vt:lpstr>NICOM_유지보수현황</vt:lpstr>
      <vt:lpstr>AS</vt:lpstr>
      <vt:lpstr>충남교육청_KLAS</vt:lpstr>
      <vt:lpstr>세종시도서관_KLAS</vt:lpstr>
      <vt:lpstr>VISIONIT_MaintenanceList</vt:lpstr>
      <vt:lpstr>2025예산</vt:lpstr>
      <vt:lpstr>1월</vt:lpstr>
      <vt:lpstr>2월</vt:lpstr>
      <vt:lpstr>3월</vt:lpstr>
      <vt:lpstr>4월</vt:lpstr>
      <vt:lpstr>5월</vt:lpstr>
      <vt:lpstr>7월</vt:lpstr>
      <vt:lpstr>8월</vt:lpstr>
      <vt:lpstr>9월</vt:lpstr>
      <vt:lpstr>10월</vt:lpstr>
      <vt:lpstr>11월</vt:lpstr>
      <vt:lpstr>12월</vt:lpstr>
      <vt:lpstr>'1월'!Print_Area</vt:lpstr>
      <vt:lpstr>NICOM_유지보수현황!Print_Area</vt:lpstr>
      <vt:lpstr>NICOM_처리리스트!Print_Area</vt:lpstr>
      <vt:lpstr>VISIONIT_MaintenanceList!Print_Area</vt:lpstr>
      <vt:lpstr>'1월'!달력연도</vt:lpstr>
      <vt:lpstr>'1월'!열제목영역1..H12.1</vt:lpstr>
      <vt:lpstr>'10월'!열제목영역1..H12.10</vt:lpstr>
      <vt:lpstr>'11월'!열제목영역1..H12.10</vt:lpstr>
      <vt:lpstr>'12월'!열제목영역1..H12.10</vt:lpstr>
      <vt:lpstr>'11월'!열제목영역1..H12.11</vt:lpstr>
      <vt:lpstr>'12월'!열제목영역1..H12.11</vt:lpstr>
      <vt:lpstr>'12월'!열제목영역1..H12.12</vt:lpstr>
      <vt:lpstr>'10월'!열제목영역1..H12.2</vt:lpstr>
      <vt:lpstr>'11월'!열제목영역1..H12.2</vt:lpstr>
      <vt:lpstr>'12월'!열제목영역1..H12.2</vt:lpstr>
      <vt:lpstr>'2월'!열제목영역1..H12.2</vt:lpstr>
      <vt:lpstr>'3월'!열제목영역1..H12.2</vt:lpstr>
      <vt:lpstr>'4월'!열제목영역1..H12.2</vt:lpstr>
      <vt:lpstr>'5월'!열제목영역1..H12.2</vt:lpstr>
      <vt:lpstr>'6월'!열제목영역1..H12.2</vt:lpstr>
      <vt:lpstr>'7월'!열제목영역1..H12.2</vt:lpstr>
      <vt:lpstr>'8월'!열제목영역1..H12.2</vt:lpstr>
      <vt:lpstr>'9월'!열제목영역1..H12.2</vt:lpstr>
      <vt:lpstr>'10월'!열제목영역1..H12.3</vt:lpstr>
      <vt:lpstr>'11월'!열제목영역1..H12.3</vt:lpstr>
      <vt:lpstr>'12월'!열제목영역1..H12.3</vt:lpstr>
      <vt:lpstr>'3월'!열제목영역1..H12.3</vt:lpstr>
      <vt:lpstr>'4월'!열제목영역1..H12.3</vt:lpstr>
      <vt:lpstr>'5월'!열제목영역1..H12.3</vt:lpstr>
      <vt:lpstr>'6월'!열제목영역1..H12.3</vt:lpstr>
      <vt:lpstr>'7월'!열제목영역1..H12.3</vt:lpstr>
      <vt:lpstr>'8월'!열제목영역1..H12.3</vt:lpstr>
      <vt:lpstr>'9월'!열제목영역1..H12.3</vt:lpstr>
      <vt:lpstr>'10월'!열제목영역1..H12.4</vt:lpstr>
      <vt:lpstr>'11월'!열제목영역1..H12.4</vt:lpstr>
      <vt:lpstr>'12월'!열제목영역1..H12.4</vt:lpstr>
      <vt:lpstr>'4월'!열제목영역1..H12.4</vt:lpstr>
      <vt:lpstr>'5월'!열제목영역1..H12.4</vt:lpstr>
      <vt:lpstr>'6월'!열제목영역1..H12.4</vt:lpstr>
      <vt:lpstr>'7월'!열제목영역1..H12.4</vt:lpstr>
      <vt:lpstr>'8월'!열제목영역1..H12.4</vt:lpstr>
      <vt:lpstr>'9월'!열제목영역1..H12.4</vt:lpstr>
      <vt:lpstr>'10월'!열제목영역1..H12.5</vt:lpstr>
      <vt:lpstr>'11월'!열제목영역1..H12.5</vt:lpstr>
      <vt:lpstr>'12월'!열제목영역1..H12.5</vt:lpstr>
      <vt:lpstr>'5월'!열제목영역1..H12.5</vt:lpstr>
      <vt:lpstr>'6월'!열제목영역1..H12.5</vt:lpstr>
      <vt:lpstr>'7월'!열제목영역1..H12.5</vt:lpstr>
      <vt:lpstr>'8월'!열제목영역1..H12.5</vt:lpstr>
      <vt:lpstr>'9월'!열제목영역1..H12.5</vt:lpstr>
      <vt:lpstr>'10월'!열제목영역1..H12.6</vt:lpstr>
      <vt:lpstr>'11월'!열제목영역1..H12.6</vt:lpstr>
      <vt:lpstr>'12월'!열제목영역1..H12.6</vt:lpstr>
      <vt:lpstr>'6월'!열제목영역1..H12.6</vt:lpstr>
      <vt:lpstr>'7월'!열제목영역1..H12.6</vt:lpstr>
      <vt:lpstr>'8월'!열제목영역1..H12.6</vt:lpstr>
      <vt:lpstr>'9월'!열제목영역1..H12.6</vt:lpstr>
      <vt:lpstr>'10월'!열제목영역1..H12.7</vt:lpstr>
      <vt:lpstr>'11월'!열제목영역1..H12.7</vt:lpstr>
      <vt:lpstr>'12월'!열제목영역1..H12.7</vt:lpstr>
      <vt:lpstr>'7월'!열제목영역1..H12.7</vt:lpstr>
      <vt:lpstr>'8월'!열제목영역1..H12.7</vt:lpstr>
      <vt:lpstr>'9월'!열제목영역1..H12.7</vt:lpstr>
      <vt:lpstr>'10월'!열제목영역1..H12.8</vt:lpstr>
      <vt:lpstr>'11월'!열제목영역1..H12.8</vt:lpstr>
      <vt:lpstr>'12월'!열제목영역1..H12.8</vt:lpstr>
      <vt:lpstr>'8월'!열제목영역1..H12.8</vt:lpstr>
      <vt:lpstr>'9월'!열제목영역1..H12.8</vt:lpstr>
      <vt:lpstr>'10월'!열제목영역1..H12.9</vt:lpstr>
      <vt:lpstr>'11월'!열제목영역1..H12.9</vt:lpstr>
      <vt:lpstr>'12월'!열제목영역1..H12.9</vt:lpstr>
      <vt:lpstr>'9월'!열제목영역1..H12.9</vt:lpstr>
      <vt:lpstr>'1월'!열제목영역2..C14.1</vt:lpstr>
      <vt:lpstr>'10월'!열제목영역2..C14.10</vt:lpstr>
      <vt:lpstr>'11월'!열제목영역2..C14.10</vt:lpstr>
      <vt:lpstr>'12월'!열제목영역2..C14.10</vt:lpstr>
      <vt:lpstr>'11월'!열제목영역2..C14.11</vt:lpstr>
      <vt:lpstr>'12월'!열제목영역2..C14.11</vt:lpstr>
      <vt:lpstr>'12월'!열제목영역2..C14.12</vt:lpstr>
      <vt:lpstr>'10월'!열제목영역2..C14.2</vt:lpstr>
      <vt:lpstr>'11월'!열제목영역2..C14.2</vt:lpstr>
      <vt:lpstr>'12월'!열제목영역2..C14.2</vt:lpstr>
      <vt:lpstr>'2월'!열제목영역2..C14.2</vt:lpstr>
      <vt:lpstr>'3월'!열제목영역2..C14.2</vt:lpstr>
      <vt:lpstr>'4월'!열제목영역2..C14.2</vt:lpstr>
      <vt:lpstr>'5월'!열제목영역2..C14.2</vt:lpstr>
      <vt:lpstr>'6월'!열제목영역2..C14.2</vt:lpstr>
      <vt:lpstr>'7월'!열제목영역2..C14.2</vt:lpstr>
      <vt:lpstr>'8월'!열제목영역2..C14.2</vt:lpstr>
      <vt:lpstr>'9월'!열제목영역2..C14.2</vt:lpstr>
      <vt:lpstr>'10월'!열제목영역2..C14.3</vt:lpstr>
      <vt:lpstr>'11월'!열제목영역2..C14.3</vt:lpstr>
      <vt:lpstr>'12월'!열제목영역2..C14.3</vt:lpstr>
      <vt:lpstr>'3월'!열제목영역2..C14.3</vt:lpstr>
      <vt:lpstr>'4월'!열제목영역2..C14.3</vt:lpstr>
      <vt:lpstr>'5월'!열제목영역2..C14.3</vt:lpstr>
      <vt:lpstr>'6월'!열제목영역2..C14.3</vt:lpstr>
      <vt:lpstr>'7월'!열제목영역2..C14.3</vt:lpstr>
      <vt:lpstr>'8월'!열제목영역2..C14.3</vt:lpstr>
      <vt:lpstr>'9월'!열제목영역2..C14.3</vt:lpstr>
      <vt:lpstr>'10월'!열제목영역2..C14.4</vt:lpstr>
      <vt:lpstr>'11월'!열제목영역2..C14.4</vt:lpstr>
      <vt:lpstr>'12월'!열제목영역2..C14.4</vt:lpstr>
      <vt:lpstr>'4월'!열제목영역2..C14.4</vt:lpstr>
      <vt:lpstr>'5월'!열제목영역2..C14.4</vt:lpstr>
      <vt:lpstr>'6월'!열제목영역2..C14.4</vt:lpstr>
      <vt:lpstr>'7월'!열제목영역2..C14.4</vt:lpstr>
      <vt:lpstr>'8월'!열제목영역2..C14.4</vt:lpstr>
      <vt:lpstr>'9월'!열제목영역2..C14.4</vt:lpstr>
      <vt:lpstr>'10월'!열제목영역2..C14.5</vt:lpstr>
      <vt:lpstr>'11월'!열제목영역2..C14.5</vt:lpstr>
      <vt:lpstr>'12월'!열제목영역2..C14.5</vt:lpstr>
      <vt:lpstr>'5월'!열제목영역2..C14.5</vt:lpstr>
      <vt:lpstr>'6월'!열제목영역2..C14.5</vt:lpstr>
      <vt:lpstr>'7월'!열제목영역2..C14.5</vt:lpstr>
      <vt:lpstr>'8월'!열제목영역2..C14.5</vt:lpstr>
      <vt:lpstr>'9월'!열제목영역2..C14.5</vt:lpstr>
      <vt:lpstr>'10월'!열제목영역2..C14.6</vt:lpstr>
      <vt:lpstr>'11월'!열제목영역2..C14.6</vt:lpstr>
      <vt:lpstr>'12월'!열제목영역2..C14.6</vt:lpstr>
      <vt:lpstr>'6월'!열제목영역2..C14.6</vt:lpstr>
      <vt:lpstr>'7월'!열제목영역2..C14.6</vt:lpstr>
      <vt:lpstr>'8월'!열제목영역2..C14.6</vt:lpstr>
      <vt:lpstr>'9월'!열제목영역2..C14.6</vt:lpstr>
      <vt:lpstr>'10월'!열제목영역2..C14.7</vt:lpstr>
      <vt:lpstr>'11월'!열제목영역2..C14.7</vt:lpstr>
      <vt:lpstr>'12월'!열제목영역2..C14.7</vt:lpstr>
      <vt:lpstr>'7월'!열제목영역2..C14.7</vt:lpstr>
      <vt:lpstr>'8월'!열제목영역2..C14.7</vt:lpstr>
      <vt:lpstr>'9월'!열제목영역2..C14.7</vt:lpstr>
      <vt:lpstr>'10월'!열제목영역2..C14.8</vt:lpstr>
      <vt:lpstr>'11월'!열제목영역2..C14.8</vt:lpstr>
      <vt:lpstr>'12월'!열제목영역2..C14.8</vt:lpstr>
      <vt:lpstr>'8월'!열제목영역2..C14.8</vt:lpstr>
      <vt:lpstr>'9월'!열제목영역2..C14.8</vt:lpstr>
      <vt:lpstr>'10월'!열제목영역2..C14.9</vt:lpstr>
      <vt:lpstr>'11월'!열제목영역2..C14.9</vt:lpstr>
      <vt:lpstr>'12월'!열제목영역2..C14.9</vt:lpstr>
      <vt:lpstr>'9월'!열제목영역2..C14.9</vt:lpstr>
      <vt:lpstr>'1월'!주시작</vt:lpstr>
      <vt:lpstr>'1월'!행제목영역1..K3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Choco</dc:creator>
  <cp:keywords/>
  <dc:description/>
  <cp:lastModifiedBy>기헌 양</cp:lastModifiedBy>
  <cp:revision>442</cp:revision>
  <dcterms:created xsi:type="dcterms:W3CDTF">2014-10-26T23:22:28Z</dcterms:created>
  <dcterms:modified xsi:type="dcterms:W3CDTF">2025-06-16T09:11:15Z</dcterms:modified>
  <cp:category/>
  <cp:contentStatus/>
</cp:coreProperties>
</file>